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d6171d32dcd4bb2" /></Relationships>
</file>

<file path=xl/workbook.xml><?xml version="1.0" encoding="utf-8"?>
<x:workbook xmlns:x="http://schemas.openxmlformats.org/spreadsheetml/2006/main">
  <x:sheets>
    <x:sheet xmlns:r="http://schemas.openxmlformats.org/officeDocument/2006/relationships" name="Launch Dashboard" sheetId="1" r:id="R5da13c24a2ef444c"/>
    <x:sheet xmlns:r="http://schemas.openxmlformats.org/officeDocument/2006/relationships" name="Products" sheetId="2" r:id="R2648346d5fa14757"/>
    <x:sheet xmlns:r="http://schemas.openxmlformats.org/officeDocument/2006/relationships" name="Providers" sheetId="3" r:id="Ra486513141a24c9a"/>
    <x:sheet xmlns:r="http://schemas.openxmlformats.org/officeDocument/2006/relationships" name="Keywords" sheetId="4" r:id="R5204230d643b40cf"/>
    <x:sheet xmlns:r="http://schemas.openxmlformats.org/officeDocument/2006/relationships" name="Evidence" sheetId="5" r:id="Reb68ba3c70f348cd"/>
    <x:sheet xmlns:r="http://schemas.openxmlformats.org/officeDocument/2006/relationships" name="Content Map" sheetId="6" r:id="Rdb42fe0e16a34581"/>
    <x:sheet xmlns:r="http://schemas.openxmlformats.org/officeDocument/2006/relationships" name="Owner Actions" sheetId="7" r:id="Rba2c03a7f8c14aa6"/>
  </x:sheets>
</x:workbook>
</file>

<file path=xl/comments1.xml><?xml version="1.0" encoding="utf-8"?>
<x:comments xmlns:x="http://schemas.openxmlformats.org/spreadsheetml/2006/main">
  <x:authors>
    <x:author>tc={7402CA00-0C59-7E9F-4284-84B6E9CD997C}</x:author>
    <x:author>tc={AB6BADF6-FA37-FC64-9E8D-BD55B83D6F40}</x:author>
  </x:authors>
  <x:commentList>
    <x:comment ref="A10" authorId="0">
      <x:text>
        <x:r>
          <x:t>[Threaded comment]
Your version of Excel allows you to read this threaded comment; however, any edits to it will get removed if the file is opened in a newer version of Excel. Learn more: https://go.microsoft.com/fwlink/?linkid=870924
Comment:
    Source: docs/business/AFFILIATE_ACTIVATION.md and research/affiliate-program-evidence.csv. Affiliate IDs and Noon Egypt territory permission are owner-controlled inputs and are not present in this launch package.</x:t>
        </x:r>
      </x:text>
    </x:comment>
    <x:comment ref="J5" authorId="1">
      <x:text>
        <x:r>
          <x:t>[Threaded comment]
Your version of Excel allows you to read this threaded comment; however, any edits to it will get removed if the file is opened in a newer version of Excel. Learn more: https://go.microsoft.com/fwlink/?linkid=870924
Comment:
    Formula-backed average of the five visible product totals. Each product total is the sum of seven visible selection components; the score is an editorial rank inside the evaluated launch set, not a performance claim.</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quot;EGP&quot; #,##0.00"/>
    <x:numFmt numFmtId="201" formatCode="yyyy-mm-dd"/>
    <x:numFmt numFmtId="202" formatCode="0"/>
    <x:numFmt numFmtId="203" formatCode="yyyy-mm-dd hh:mm"/>
  </x:numFmts>
  <x:fonts count="12">
    <x:font>
      <x:sz val="11"/>
      <x:name val="Carlito"/>
    </x:font>
    <x:font>
      <x:b/>
      <x:sz val="22"/>
      <x:color rgb="FFFFFDF7"/>
      <x:name val="Bahnschrift Condensed"/>
    </x:font>
    <x:font>
      <x:sz val="9"/>
      <x:color rgb="FF101411"/>
      <x:name val="Segoe UI"/>
    </x:font>
    <x:font>
      <x:b/>
      <x:sz val="9"/>
      <x:color rgb="FFFFFDF7"/>
      <x:name val="Segoe UI Semibold"/>
    </x:font>
    <x:font>
      <x:sz val="8"/>
      <x:color rgb="FF101411"/>
      <x:name val="Segoe UI"/>
    </x:font>
    <x:font>
      <x:b/>
      <x:sz val="8"/>
      <x:color rgb="FF245C67"/>
      <x:name val="Segoe UI Semibold"/>
    </x:font>
    <x:font>
      <x:sz val="8"/>
      <x:color rgb="FF245C67"/>
      <x:name val="Segoe UI"/>
    </x:font>
    <x:font>
      <x:b/>
      <x:sz val="8"/>
      <x:color rgb="FF101411"/>
      <x:name val="Segoe UI Semibold"/>
    </x:font>
    <x:font>
      <x:b/>
      <x:sz val="28"/>
      <x:color rgb="FF101411"/>
      <x:name val="Bahnschrift Condensed"/>
    </x:font>
    <x:font>
      <x:b/>
      <x:sz val="10"/>
      <x:color rgb="FF101411"/>
      <x:name val="Segoe UI Semibold"/>
    </x:font>
    <x:font>
      <x:b/>
      <x:sz val="9"/>
      <x:color rgb="FF101411"/>
      <x:name val="SahlaMono"/>
    </x:font>
    <x:font>
      <x:b/>
      <x:sz val="18"/>
      <x:color rgb="FF101411"/>
      <x:name val="Bahnschrift Condensed"/>
    </x:font>
  </x:fonts>
  <x:fills count="7">
    <x:fill>
      <x:patternFill patternType="none"/>
    </x:fill>
    <x:fill>
      <x:patternFill patternType="gray125"/>
    </x:fill>
    <x:fill>
      <x:patternFill patternType="solid">
        <x:fgColor rgb="FF101411"/>
      </x:patternFill>
    </x:fill>
    <x:fill>
      <x:patternFill patternType="solid">
        <x:fgColor rgb="FFE9DFCA"/>
      </x:patternFill>
    </x:fill>
    <x:fill>
      <x:patternFill patternType="solid">
        <x:fgColor rgb="FFFFFDF7"/>
      </x:patternFill>
    </x:fill>
    <x:fill>
      <x:patternFill patternType="solid">
        <x:fgColor rgb="FFF3C666"/>
      </x:patternFill>
    </x:fill>
    <x:fill>
      <x:patternFill patternType="solid">
        <x:fgColor rgb="FFC9FF4A"/>
      </x:patternFill>
    </x:fill>
  </x:fills>
  <x:borders count="19">
    <x:border/>
    <x:border>
      <x:right style="thin">
        <x:color rgb="FF47504A"/>
      </x:right>
    </x:border>
    <x:border>
      <x:left style="thin">
        <x:color rgb="FF47504A"/>
      </x:left>
      <x:right style="thin">
        <x:color rgb="FF47504A"/>
      </x:right>
    </x:border>
    <x:border>
      <x:left style="thin">
        <x:color rgb="FF47504A"/>
      </x:left>
    </x:border>
    <x:border>
      <x:bottom style="thin">
        <x:color rgb="FFC8C1B3"/>
      </x:bottom>
    </x:border>
    <x:border>
      <x:top style="thin">
        <x:color rgb="FFC8C1B3"/>
      </x:top>
      <x:bottom style="thin">
        <x:color rgb="FFC8C1B3"/>
      </x:bottom>
    </x:border>
    <x:border>
      <x:top style="thin">
        <x:color rgb="FFC8C1B3"/>
      </x:top>
    </x:border>
    <x:border>
      <x:left style="medium">
        <x:color rgb="FF101411"/>
      </x:left>
      <x:top style="medium">
        <x:color rgb="FF101411"/>
      </x:top>
      <x:bottom style="medium">
        <x:color rgb="FF101411"/>
      </x:bottom>
    </x:border>
    <x:border>
      <x:top style="medium">
        <x:color rgb="FF101411"/>
      </x:top>
      <x:bottom style="medium">
        <x:color rgb="FF101411"/>
      </x:bottom>
    </x:border>
    <x:border>
      <x:right style="medium">
        <x:color rgb="FF101411"/>
      </x:right>
      <x:top style="medium">
        <x:color rgb="FF101411"/>
      </x:top>
      <x:bottom style="medium">
        <x:color rgb="FF101411"/>
      </x:bottom>
    </x:border>
    <x:border>
      <x:left style="medium">
        <x:color rgb="FF101411"/>
      </x:left>
      <x:top style="medium">
        <x:color rgb="FF101411"/>
      </x:top>
    </x:border>
    <x:border>
      <x:top style="medium">
        <x:color rgb="FF101411"/>
      </x:top>
    </x:border>
    <x:border>
      <x:right style="medium">
        <x:color rgb="FF101411"/>
      </x:right>
      <x:top style="medium">
        <x:color rgb="FF101411"/>
      </x:top>
    </x:border>
    <x:border>
      <x:left style="medium">
        <x:color rgb="FF101411"/>
      </x:left>
    </x:border>
    <x:border>
      <x:right style="medium">
        <x:color rgb="FF101411"/>
      </x:right>
    </x:border>
    <x:border>
      <x:left style="medium">
        <x:color rgb="FF101411"/>
      </x:left>
      <x:bottom style="medium">
        <x:color rgb="FF101411"/>
      </x:bottom>
    </x:border>
    <x:border>
      <x:bottom style="medium">
        <x:color rgb="FF101411"/>
      </x:bottom>
    </x:border>
    <x:border>
      <x:right style="medium">
        <x:color rgb="FF101411"/>
      </x:right>
      <x:bottom style="medium">
        <x:color rgb="FF101411"/>
      </x:bottom>
    </x:border>
    <x:border>
      <x:left style="thin">
        <x:color rgb="FFC8C1B3"/>
      </x:left>
      <x:right style="thin">
        <x:color rgb="FFC8C1B3"/>
      </x:right>
      <x:top style="thin">
        <x:color rgb="FFC8C1B3"/>
      </x:top>
      <x:bottom style="thin">
        <x:color rgb="FFC8C1B3"/>
      </x:bottom>
    </x:border>
  </x:borders>
  <x:cellStyleXfs count="1">
    <x:xf numFmtId="0" fontId="0" fillId="0" borderId="0"/>
  </x:cellStyleXfs>
  <x:cellXfs count="1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201" fontId="4" fillId="0" borderId="5" xfId="0" applyNumberFormat="1" applyFont="1" applyFill="1" applyBorder="1" applyAlignment="1">
      <x:alignment vertical="top" wrapText="1"/>
    </x:xf>
    <x:xf numFmtId="201" fontId="4" fillId="0" borderId="6" xfId="0" applyNumberFormat="1" applyFont="1" applyFill="1" applyBorder="1" applyAlignment="1">
      <x:alignment vertical="top" wrapText="1"/>
    </x:xf>
    <x:xf numFmtId="202" fontId="4" fillId="0" borderId="4" xfId="0" applyNumberFormat="1" applyFont="1" applyFill="1" applyBorder="1" applyAlignment="1">
      <x:alignment vertical="top" wrapText="1"/>
    </x:xf>
    <x:xf numFmtId="202" fontId="4" fillId="0" borderId="5" xfId="0" applyNumberFormat="1" applyFont="1" applyFill="1" applyBorder="1" applyAlignment="1">
      <x:alignment vertical="top" wrapText="1"/>
    </x:xf>
    <x:xf numFmtId="202" fontId="4" fillId="0" borderId="6" xfId="0" applyNumberFormat="1" applyFont="1" applyFill="1" applyBorder="1" applyAlignment="1">
      <x:alignment vertical="top" wrapText="1"/>
    </x:xf>
    <x:xf numFmtId="0" fontId="4" fillId="0" borderId="4" xfId="0" applyNumberFormat="1" applyFont="1" applyFill="1" applyBorder="1" applyAlignment="1">
      <x:alignment vertical="top" wrapText="0"/>
    </x:xf>
    <x:xf numFmtId="0" fontId="4" fillId="0" borderId="5" xfId="0" applyNumberFormat="1" applyFont="1" applyFill="1" applyBorder="1" applyAlignment="1">
      <x:alignment vertical="top" wrapText="0"/>
    </x:xf>
    <x:xf numFmtId="0" fontId="4" fillId="0" borderId="6" xfId="0" applyNumberFormat="1" applyFont="1" applyFill="1" applyBorder="1" applyAlignment="1">
      <x:alignment vertical="top" wrapText="0"/>
    </x:xf>
    <x:xf numFmtId="0" fontId="5" fillId="0" borderId="4" xfId="0" applyNumberFormat="1" applyFont="1" applyFill="1" applyBorder="1" applyAlignment="1">
      <x:alignment vertical="top" wrapText="0"/>
    </x:xf>
    <x:xf numFmtId="0" fontId="5" fillId="0" borderId="5" xfId="0" applyNumberFormat="1" applyFont="1" applyFill="1" applyBorder="1" applyAlignment="1">
      <x:alignment vertical="top" wrapText="0"/>
    </x:xf>
    <x:xf numFmtId="0" fontId="5" fillId="0" borderId="6" xfId="0" applyNumberFormat="1" applyFont="1" applyFill="1" applyBorder="1" applyAlignment="1">
      <x:alignment vertical="top" wrapText="0"/>
    </x:xf>
    <x:xf numFmtId="203" fontId="4" fillId="0" borderId="4" xfId="0" applyNumberFormat="1" applyFont="1" applyFill="1" applyBorder="1" applyAlignment="1">
      <x:alignment vertical="top" wrapText="1"/>
    </x:xf>
    <x:xf numFmtId="203" fontId="4" fillId="0" borderId="5" xfId="0" applyNumberFormat="1" applyFont="1" applyFill="1" applyBorder="1" applyAlignment="1">
      <x:alignment vertical="top" wrapText="1"/>
    </x:xf>
    <x:xf numFmtId="203" fontId="4" fillId="0" borderId="6"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7" fillId="3" borderId="0" xfId="0" applyNumberFormat="1" applyFont="1" applyFill="1" applyBorder="1"/>
    <x:xf numFmtId="0" fontId="7" fillId="3" borderId="7" xfId="0" applyNumberFormat="1" applyFont="1" applyFill="1" applyBorder="1"/>
    <x:xf numFmtId="0" fontId="7" fillId="3" borderId="8" xfId="0" applyNumberFormat="1" applyFont="1" applyFill="1" applyBorder="1"/>
    <x:xf numFmtId="0" fontId="7" fillId="3" borderId="9" xfId="0" applyNumberFormat="1" applyFont="1" applyFill="1" applyBorder="1"/>
    <x:xf numFmtId="0" fontId="7" fillId="3" borderId="7" xfId="0" applyNumberFormat="1" applyFont="1" applyFill="1" applyBorder="1" applyAlignment="1">
      <x:alignment horizontal="center"/>
    </x:xf>
    <x:xf numFmtId="0" fontId="7" fillId="3" borderId="8" xfId="0" applyNumberFormat="1" applyFont="1" applyFill="1" applyBorder="1" applyAlignment="1">
      <x:alignment horizontal="center"/>
    </x:xf>
    <x:xf numFmtId="0" fontId="7" fillId="3" borderId="9" xfId="0" applyNumberFormat="1" applyFont="1" applyFill="1" applyBorder="1" applyAlignment="1">
      <x:alignment horizontal="center"/>
    </x:xf>
    <x:xf numFmtId="0" fontId="7" fillId="3" borderId="7" xfId="0" applyNumberFormat="1" applyFont="1" applyFill="1" applyBorder="1" applyAlignment="1">
      <x:alignment horizontal="center" vertical="center"/>
    </x:xf>
    <x:xf numFmtId="0" fontId="7" fillId="3" borderId="8" xfId="0" applyNumberFormat="1" applyFont="1" applyFill="1" applyBorder="1" applyAlignment="1">
      <x:alignment horizontal="center" vertical="center"/>
    </x:xf>
    <x:xf numFmtId="0" fontId="7" fillId="3" borderId="9" xfId="0" applyNumberFormat="1" applyFont="1" applyFill="1" applyBorder="1" applyAlignment="1">
      <x:alignment horizontal="center" vertical="center"/>
    </x:xf>
    <x:xf numFmtId="0" fontId="0" fillId="4" borderId="0" xfId="0" applyNumberFormat="1" applyFont="1" applyFill="1" applyBorder="1"/>
    <x:xf numFmtId="0" fontId="8" fillId="4" borderId="0" xfId="0" applyNumberFormat="1" applyFont="1" applyFill="1" applyBorder="1"/>
    <x:xf numFmtId="0" fontId="8" fillId="4" borderId="10" xfId="0" applyNumberFormat="1" applyFont="1" applyFill="1" applyBorder="1"/>
    <x:xf numFmtId="0" fontId="8" fillId="4" borderId="11" xfId="0" applyNumberFormat="1" applyFont="1" applyFill="1" applyBorder="1"/>
    <x:xf numFmtId="0" fontId="8" fillId="4" borderId="12" xfId="0" applyNumberFormat="1" applyFont="1" applyFill="1" applyBorder="1"/>
    <x:xf numFmtId="0" fontId="8" fillId="4" borderId="13" xfId="0" applyNumberFormat="1" applyFont="1" applyFill="1" applyBorder="1"/>
    <x:xf numFmtId="0" fontId="8" fillId="4" borderId="14" xfId="0" applyNumberFormat="1" applyFont="1" applyFill="1" applyBorder="1"/>
    <x:xf numFmtId="0" fontId="8" fillId="4" borderId="15" xfId="0" applyNumberFormat="1" applyFont="1" applyFill="1" applyBorder="1"/>
    <x:xf numFmtId="0" fontId="8" fillId="4" borderId="16" xfId="0" applyNumberFormat="1" applyFont="1" applyFill="1" applyBorder="1"/>
    <x:xf numFmtId="0" fontId="8" fillId="4" borderId="17" xfId="0" applyNumberFormat="1" applyFont="1" applyFill="1" applyBorder="1"/>
    <x:xf numFmtId="0" fontId="8" fillId="4" borderId="10" xfId="0" applyNumberFormat="1" applyFont="1" applyFill="1" applyBorder="1" applyAlignment="1">
      <x:alignment horizontal="center"/>
    </x:xf>
    <x:xf numFmtId="0" fontId="8" fillId="4" borderId="11" xfId="0" applyNumberFormat="1" applyFont="1" applyFill="1" applyBorder="1" applyAlignment="1">
      <x:alignment horizontal="center"/>
    </x:xf>
    <x:xf numFmtId="0" fontId="8" fillId="4" borderId="12" xfId="0" applyNumberFormat="1" applyFont="1" applyFill="1" applyBorder="1" applyAlignment="1">
      <x:alignment horizontal="center"/>
    </x:xf>
    <x:xf numFmtId="0" fontId="8" fillId="4" borderId="13" xfId="0" applyNumberFormat="1" applyFont="1" applyFill="1" applyBorder="1" applyAlignment="1">
      <x:alignment horizontal="center"/>
    </x:xf>
    <x:xf numFmtId="0" fontId="8" fillId="4" borderId="0" xfId="0" applyNumberFormat="1" applyFont="1" applyFill="1" applyBorder="1" applyAlignment="1">
      <x:alignment horizontal="center"/>
    </x:xf>
    <x:xf numFmtId="0" fontId="8" fillId="4" borderId="14" xfId="0" applyNumberFormat="1" applyFont="1" applyFill="1" applyBorder="1" applyAlignment="1">
      <x:alignment horizontal="center"/>
    </x:xf>
    <x:xf numFmtId="0" fontId="8" fillId="4" borderId="15" xfId="0" applyNumberFormat="1" applyFont="1" applyFill="1" applyBorder="1" applyAlignment="1">
      <x:alignment horizontal="center"/>
    </x:xf>
    <x:xf numFmtId="0" fontId="8" fillId="4" borderId="16" xfId="0" applyNumberFormat="1" applyFont="1" applyFill="1" applyBorder="1" applyAlignment="1">
      <x:alignment horizontal="center"/>
    </x:xf>
    <x:xf numFmtId="0" fontId="8" fillId="4" borderId="17" xfId="0" applyNumberFormat="1" applyFont="1" applyFill="1" applyBorder="1" applyAlignment="1">
      <x:alignment horizontal="center"/>
    </x:xf>
    <x:xf numFmtId="0" fontId="8" fillId="4" borderId="10" xfId="0" applyNumberFormat="1" applyFont="1" applyFill="1" applyBorder="1" applyAlignment="1">
      <x:alignment horizontal="center" vertical="center"/>
    </x:xf>
    <x:xf numFmtId="0" fontId="8" fillId="4" borderId="11" xfId="0" applyNumberFormat="1" applyFont="1" applyFill="1" applyBorder="1" applyAlignment="1">
      <x:alignment horizontal="center" vertical="center"/>
    </x:xf>
    <x:xf numFmtId="0" fontId="8" fillId="4" borderId="12" xfId="0" applyNumberFormat="1" applyFont="1" applyFill="1" applyBorder="1" applyAlignment="1">
      <x:alignment horizontal="center" vertical="center"/>
    </x:xf>
    <x:xf numFmtId="0" fontId="8" fillId="4" borderId="13" xfId="0" applyNumberFormat="1" applyFont="1" applyFill="1" applyBorder="1" applyAlignment="1">
      <x:alignment horizontal="center" vertical="center"/>
    </x:xf>
    <x:xf numFmtId="0" fontId="8" fillId="4" borderId="0" xfId="0" applyNumberFormat="1" applyFont="1" applyFill="1" applyBorder="1" applyAlignment="1">
      <x:alignment horizontal="center" vertical="center"/>
    </x:xf>
    <x:xf numFmtId="0" fontId="8" fillId="4" borderId="14" xfId="0" applyNumberFormat="1" applyFont="1" applyFill="1" applyBorder="1" applyAlignment="1">
      <x:alignment horizontal="center" vertical="center"/>
    </x:xf>
    <x:xf numFmtId="0" fontId="8" fillId="4" borderId="15" xfId="0" applyNumberFormat="1" applyFont="1" applyFill="1" applyBorder="1" applyAlignment="1">
      <x:alignment horizontal="center" vertical="center"/>
    </x:xf>
    <x:xf numFmtId="0" fontId="8" fillId="4" borderId="16" xfId="0" applyNumberFormat="1" applyFont="1" applyFill="1" applyBorder="1" applyAlignment="1">
      <x:alignment horizontal="center" vertical="center"/>
    </x:xf>
    <x:xf numFmtId="0" fontId="8" fillId="4" borderId="17" xfId="0" applyNumberFormat="1" applyFont="1" applyFill="1" applyBorder="1" applyAlignment="1">
      <x:alignment horizontal="center" vertical="center"/>
    </x:xf>
    <x:xf numFmtId="0" fontId="3" fillId="2" borderId="0" xfId="0" applyNumberFormat="1" applyFont="1" applyFill="1" applyBorder="1" applyAlignment="1">
      <x:alignment vertical="center"/>
    </x:xf>
    <x:xf numFmtId="0" fontId="0" fillId="5" borderId="0" xfId="0" applyNumberFormat="1" applyFont="1" applyFill="1" applyBorder="1"/>
    <x:xf numFmtId="0" fontId="9" fillId="5" borderId="0" xfId="0" applyNumberFormat="1" applyFont="1" applyFill="1" applyBorder="1"/>
    <x:xf numFmtId="0" fontId="9" fillId="5" borderId="10" xfId="0" applyNumberFormat="1" applyFont="1" applyFill="1" applyBorder="1"/>
    <x:xf numFmtId="0" fontId="9" fillId="5" borderId="11" xfId="0" applyNumberFormat="1" applyFont="1" applyFill="1" applyBorder="1"/>
    <x:xf numFmtId="0" fontId="9" fillId="5" borderId="12" xfId="0" applyNumberFormat="1" applyFont="1" applyFill="1" applyBorder="1"/>
    <x:xf numFmtId="0" fontId="9" fillId="5" borderId="13" xfId="0" applyNumberFormat="1" applyFont="1" applyFill="1" applyBorder="1"/>
    <x:xf numFmtId="0" fontId="9" fillId="5" borderId="14" xfId="0" applyNumberFormat="1" applyFont="1" applyFill="1" applyBorder="1"/>
    <x:xf numFmtId="0" fontId="9" fillId="5" borderId="15" xfId="0" applyNumberFormat="1" applyFont="1" applyFill="1" applyBorder="1"/>
    <x:xf numFmtId="0" fontId="9" fillId="5" borderId="16" xfId="0" applyNumberFormat="1" applyFont="1" applyFill="1" applyBorder="1"/>
    <x:xf numFmtId="0" fontId="9" fillId="5" borderId="17" xfId="0" applyNumberFormat="1" applyFont="1" applyFill="1" applyBorder="1"/>
    <x:xf numFmtId="0" fontId="9" fillId="5" borderId="10" xfId="0" applyNumberFormat="1" applyFont="1" applyFill="1" applyBorder="1" applyAlignment="1">
      <x:alignment wrapText="1"/>
    </x:xf>
    <x:xf numFmtId="0" fontId="9" fillId="5" borderId="11" xfId="0" applyNumberFormat="1" applyFont="1" applyFill="1" applyBorder="1" applyAlignment="1">
      <x:alignment wrapText="1"/>
    </x:xf>
    <x:xf numFmtId="0" fontId="9" fillId="5" borderId="12" xfId="0" applyNumberFormat="1" applyFont="1" applyFill="1" applyBorder="1" applyAlignment="1">
      <x:alignment wrapText="1"/>
    </x:xf>
    <x:xf numFmtId="0" fontId="9" fillId="5" borderId="13" xfId="0" applyNumberFormat="1" applyFont="1" applyFill="1" applyBorder="1" applyAlignment="1">
      <x:alignment wrapText="1"/>
    </x:xf>
    <x:xf numFmtId="0" fontId="9" fillId="5" borderId="0" xfId="0" applyNumberFormat="1" applyFont="1" applyFill="1" applyBorder="1" applyAlignment="1">
      <x:alignment wrapText="1"/>
    </x:xf>
    <x:xf numFmtId="0" fontId="9" fillId="5" borderId="14" xfId="0" applyNumberFormat="1" applyFont="1" applyFill="1" applyBorder="1" applyAlignment="1">
      <x:alignment wrapText="1"/>
    </x:xf>
    <x:xf numFmtId="0" fontId="9" fillId="5" borderId="15" xfId="0" applyNumberFormat="1" applyFont="1" applyFill="1" applyBorder="1" applyAlignment="1">
      <x:alignment wrapText="1"/>
    </x:xf>
    <x:xf numFmtId="0" fontId="9" fillId="5" borderId="16" xfId="0" applyNumberFormat="1" applyFont="1" applyFill="1" applyBorder="1" applyAlignment="1">
      <x:alignment wrapText="1"/>
    </x:xf>
    <x:xf numFmtId="0" fontId="9" fillId="5" borderId="17" xfId="0" applyNumberFormat="1" applyFont="1" applyFill="1" applyBorder="1" applyAlignment="1">
      <x:alignment wrapText="1"/>
    </x:xf>
    <x:xf numFmtId="0" fontId="9" fillId="5" borderId="10" xfId="0" applyNumberFormat="1" applyFont="1" applyFill="1" applyBorder="1" applyAlignment="1">
      <x:alignment vertical="center" wrapText="1"/>
    </x:xf>
    <x:xf numFmtId="0" fontId="9" fillId="5" borderId="11" xfId="0" applyNumberFormat="1" applyFont="1" applyFill="1" applyBorder="1" applyAlignment="1">
      <x:alignment vertical="center" wrapText="1"/>
    </x:xf>
    <x:xf numFmtId="0" fontId="9" fillId="5" borderId="12" xfId="0" applyNumberFormat="1" applyFont="1" applyFill="1" applyBorder="1" applyAlignment="1">
      <x:alignment vertical="center" wrapText="1"/>
    </x:xf>
    <x:xf numFmtId="0" fontId="9" fillId="5" borderId="13" xfId="0" applyNumberFormat="1" applyFont="1" applyFill="1" applyBorder="1" applyAlignment="1">
      <x:alignment vertical="center" wrapText="1"/>
    </x:xf>
    <x:xf numFmtId="0" fontId="9" fillId="5" borderId="0" xfId="0" applyNumberFormat="1" applyFont="1" applyFill="1" applyBorder="1" applyAlignment="1">
      <x:alignment vertical="center" wrapText="1"/>
    </x:xf>
    <x:xf numFmtId="0" fontId="9" fillId="5" borderId="14" xfId="0" applyNumberFormat="1" applyFont="1" applyFill="1" applyBorder="1" applyAlignment="1">
      <x:alignment vertical="center" wrapText="1"/>
    </x:xf>
    <x:xf numFmtId="0" fontId="9" fillId="5" borderId="15" xfId="0" applyNumberFormat="1" applyFont="1" applyFill="1" applyBorder="1" applyAlignment="1">
      <x:alignment vertical="center" wrapText="1"/>
    </x:xf>
    <x:xf numFmtId="0" fontId="9" fillId="5" borderId="16" xfId="0" applyNumberFormat="1" applyFont="1" applyFill="1" applyBorder="1" applyAlignment="1">
      <x:alignment vertical="center" wrapText="1"/>
    </x:xf>
    <x:xf numFmtId="0" fontId="9" fillId="5" borderId="17" xfId="0" applyNumberFormat="1" applyFont="1" applyFill="1" applyBorder="1" applyAlignment="1">
      <x:alignment vertical="center" wrapText="1"/>
    </x:xf>
    <x:xf numFmtId="0" fontId="0" fillId="6" borderId="0" xfId="0" applyNumberFormat="1" applyFont="1" applyFill="1" applyBorder="1"/>
    <x:xf numFmtId="0" fontId="10" fillId="6" borderId="0" xfId="0" applyNumberFormat="1" applyFont="1" applyFill="1" applyBorder="1"/>
    <x:xf numFmtId="0" fontId="10" fillId="6" borderId="18" xfId="0" applyNumberFormat="1" applyFont="1" applyFill="1" applyBorder="1"/>
    <x:xf numFmtId="0" fontId="10" fillId="6" borderId="18" xfId="0" applyNumberFormat="1" applyFont="1" applyFill="1" applyBorder="1" applyAlignment="1">
      <x:alignment horizontal="center"/>
    </x:xf>
    <x:xf numFmtId="0" fontId="10" fillId="6" borderId="18" xfId="0" applyNumberFormat="1" applyFont="1" applyFill="1" applyBorder="1" applyAlignment="1">
      <x:alignment horizontal="center" vertical="center"/>
    </x:xf>
    <x:xf numFmtId="0" fontId="4" fillId="4" borderId="0" xfId="0" applyNumberFormat="1" applyFont="1" applyFill="1" applyBorder="1"/>
    <x:xf numFmtId="0" fontId="4" fillId="4" borderId="18" xfId="0" applyNumberFormat="1" applyFont="1" applyFill="1" applyBorder="1"/>
    <x:xf numFmtId="0" fontId="4" fillId="4" borderId="18" xfId="0" applyNumberFormat="1" applyFont="1" applyFill="1" applyBorder="1" applyAlignment="1">
      <x:alignment wrapText="1"/>
    </x:xf>
    <x:xf numFmtId="0" fontId="4" fillId="4" borderId="18" xfId="0" applyNumberFormat="1" applyFont="1" applyFill="1" applyBorder="1" applyAlignment="1">
      <x:alignment vertical="center" wrapText="1"/>
    </x:xf>
    <x:xf numFmtId="0" fontId="4" fillId="3" borderId="0" xfId="0" applyNumberFormat="1" applyFont="1" applyFill="1" applyBorder="1"/>
    <x:xf numFmtId="0" fontId="4" fillId="3" borderId="18" xfId="0" applyNumberFormat="1" applyFont="1" applyFill="1" applyBorder="1"/>
    <x:xf numFmtId="0" fontId="4" fillId="3" borderId="18" xfId="0" applyNumberFormat="1" applyFont="1" applyFill="1" applyBorder="1" applyAlignment="1">
      <x:alignment wrapText="1"/>
    </x:xf>
    <x:xf numFmtId="0" fontId="4" fillId="3" borderId="18" xfId="0" applyNumberFormat="1" applyFont="1" applyFill="1" applyBorder="1" applyAlignment="1">
      <x:alignment vertical="center" wrapText="1"/>
    </x:xf>
    <x:xf numFmtId="202" fontId="4" fillId="3" borderId="18" xfId="0" applyNumberFormat="1" applyFont="1" applyFill="1" applyBorder="1" applyAlignment="1">
      <x:alignment vertical="center" wrapText="1"/>
    </x:xf>
    <x:xf numFmtId="202" fontId="11" fillId="3" borderId="18" xfId="0" applyNumberFormat="1" applyFont="1" applyFill="1" applyBorder="1" applyAlignment="1">
      <x:alignment vertical="center" wrapText="1"/>
    </x:xf>
  </x:cellXfs>
  <x:cellStyles count="1">
    <x:cellStyle name="Normal" xfId="0"/>
  </x:cellStyles>
  <x:dxfs count="9">
    <x:dxf>
      <x:font>
        <x:b/>
        <x:color rgb="FF101411"/>
      </x:font>
      <x:fill>
        <x:patternFill patternType="solid">
          <x:bgColor rgb="FFE9DFCA"/>
        </x:patternFill>
      </x:fill>
    </x:dxf>
    <x:dxf>
      <x:font>
        <x:b/>
        <x:color rgb="FF101411"/>
      </x:font>
      <x:fill>
        <x:patternFill patternType="solid">
          <x:bgColor rgb="FFF3C666"/>
        </x:patternFill>
      </x:fill>
    </x:dxf>
    <x:dxf>
      <x:font>
        <x:color rgb="FF101411"/>
      </x:font>
      <x:fill>
        <x:patternFill patternType="solid">
          <x:bgColor rgb="FFE9DFCA"/>
        </x:patternFill>
      </x:fill>
    </x:dxf>
    <x:dxf>
      <x:font>
        <x:color rgb="FF101411"/>
      </x:font>
      <x:fill>
        <x:patternFill patternType="solid">
          <x:bgColor rgb="FFF4D8D8"/>
        </x:patternFill>
      </x:fill>
    </x:dxf>
    <x:dxf>
      <x:font>
        <x:b/>
        <x:color rgb="FF101411"/>
      </x:font>
      <x:fill>
        <x:patternFill patternType="solid">
          <x:bgColor rgb="FFC9FF4A"/>
        </x:patternFill>
      </x:fill>
    </x:dxf>
    <x:dxf>
      <x:font>
        <x:color rgb="FF101411"/>
      </x:font>
      <x:fill>
        <x:patternFill patternType="solid">
          <x:bgColor rgb="FFE9DFCA"/>
        </x:patternFill>
      </x:fill>
    </x:dxf>
    <x:dxf>
      <x:font>
        <x:b/>
        <x:color rgb="FF101411"/>
      </x:font>
      <x:fill>
        <x:patternFill patternType="solid">
          <x:bgColor rgb="FFC9FF4A"/>
        </x:patternFill>
      </x:fill>
    </x:dxf>
    <x:dxf>
      <x:font>
        <x:b/>
        <x:color rgb="FF101411"/>
      </x:font>
      <x:fill>
        <x:patternFill patternType="solid">
          <x:bgColor rgb="FFF3C666"/>
        </x:patternFill>
      </x:fill>
    </x:dxf>
    <x:dxf>
      <x:font>
        <x:b/>
        <x:color rgb="FF101411"/>
      </x:font>
      <x:fill>
        <x:patternFill patternType="solid">
          <x:bgColor rgb="FFC9FF4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2946ee075342ad" /><Relationship Type="http://schemas.openxmlformats.org/officeDocument/2006/relationships/theme" Target="/xl/theme/theme1.xml" Id="Rc2b91096a02a4c24" /><Relationship Type="http://schemas.openxmlformats.org/officeDocument/2006/relationships/sharedStrings" Target="/xl/sharedStrings.xml" Id="Rcec9e718cc9a41c3" /><Relationship Type="http://schemas.openxmlformats.org/officeDocument/2006/relationships/worksheet" Target="/xl/worksheets/sheet1.xml" Id="R5da13c24a2ef444c" /><Relationship Type="http://schemas.openxmlformats.org/officeDocument/2006/relationships/worksheet" Target="/xl/worksheets/sheet2.xml" Id="R2648346d5fa14757" /><Relationship Type="http://schemas.openxmlformats.org/officeDocument/2006/relationships/worksheet" Target="/xl/worksheets/sheet3.xml" Id="Ra486513141a24c9a" /><Relationship Type="http://schemas.openxmlformats.org/officeDocument/2006/relationships/worksheet" Target="/xl/worksheets/sheet4.xml" Id="R5204230d643b40cf" /><Relationship Type="http://schemas.openxmlformats.org/officeDocument/2006/relationships/worksheet" Target="/xl/worksheets/sheet5.xml" Id="Reb68ba3c70f348cd" /><Relationship Type="http://schemas.openxmlformats.org/officeDocument/2006/relationships/worksheet" Target="/xl/worksheets/sheet6.xml" Id="Rdb42fe0e16a34581" /><Relationship Type="http://schemas.openxmlformats.org/officeDocument/2006/relationships/worksheet" Target="/xl/worksheets/sheet7.xml" Id="Rba2c03a7f8c14aa6" /><Relationship Type="http://schemas.microsoft.com/office/2017/10/relationships/person" Target="/xl/persons/person.xml" Id="Rd2cd960f521a4b65" /></Relationships>
</file>

<file path=xl/drawings/_rels/drawing1.xml.rels>&#65279;<?xml version="1.0" encoding="utf-8"?><Relationships xmlns="http://schemas.openxmlformats.org/package/2006/relationships"><Relationship Type="http://schemas.openxmlformats.org/officeDocument/2006/relationships/chart" Target="/xl/drawings/charts/chart1.xml" Id="Ra5e5e634a6754a58" /></Relationships>
</file>

<file path=xl/drawings/_rels/drawing2.xml.rels>&#65279;<?xml version="1.0" encoding="utf-8"?><Relationships xmlns="http://schemas.openxmlformats.org/package/2006/relationships"><Relationship Type="http://schemas.openxmlformats.org/officeDocument/2006/relationships/image" Target="/xl/media/image.png" Id="R5aeceb0ca0794f7d" /><Relationship Type="http://schemas.openxmlformats.org/officeDocument/2006/relationships/image" Target="/xl/media/image2.png" Id="R3b1cac9d15554d8c" /><Relationship Type="http://schemas.openxmlformats.org/officeDocument/2006/relationships/image" Target="/xl/media/image3.png" Id="R1ec93e8b5cca4018" /><Relationship Type="http://schemas.openxmlformats.org/officeDocument/2006/relationships/image" Target="/xl/media/image4.png" Id="R0133dbaad1554f83" /><Relationship Type="http://schemas.openxmlformats.org/officeDocument/2006/relationships/image" Target="/xl/media/image5.png" Id="Rcbb1a223cf5e4dd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Launch selection score / 100</a:t>
            </a:r>
          </a:p>
        </c:rich>
      </c:tx>
    </c:title>
    <c:plotArea>
      <c:barChart>
        <c:barDir val="col"/>
        <c:varyColors val="0"/>
        <c:ser>
          <c:idx val="0"/>
          <c:order val="0"/>
          <c:tx>
            <c:v>Score</c:v>
          </c:tx>
          <c:cat>
            <c:strRef>
              <c:f>'Launch Dashboard'!$J$10:$J$14</c:f>
              <c:strCache>
                <c:ptCount val="0"/>
              </c:strCache>
            </c:strRef>
          </c:cat>
          <c:val>
            <c:numRef>
              <c:f>'Launch Dashboard'!$K$10:$K$14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max val="10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15</xdr:row>
      <xdr:rowOff>0</xdr:rowOff>
    </xdr:from>
    <xdr:to>
      <xdr:col>16</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5e5e634a6754a58"/>
        </a:graphicData>
      </a:graphic>
    </xdr:graphicFrame>
    <xdr:clientData/>
  </xdr:twoCellAnchor>
</xdr:wsDr>
</file>

<file path=xl/drawings/drawing2.xml><?xml version="1.0" encoding="utf-8"?>
<xdr:wsDr xmlns:xdr="http://schemas.openxmlformats.org/drawingml/2006/spreadsheetDrawing">
  <xdr:oneCellAnchor>
    <xdr:from>
      <xdr:col>1</xdr:col>
      <xdr:colOff>47625</xdr:colOff>
      <xdr:row>5</xdr:row>
      <xdr:rowOff>47625</xdr:rowOff>
    </xdr:from>
    <xdr:ext cx="1066800" cy="685800"/>
    <xdr:pic>
      <xdr:nvPicPr>
        <xdr:cNvPr id="1" name="1a6eccdb-5c3c-403d-a53a-9b87285fd94b"/>
        <xdr:cNvPicPr>
          <a:picLocks xmlns:a="http://schemas.openxmlformats.org/drawingml/2006/main" noChangeAspect="1"/>
        </xdr:cNvPicPr>
      </xdr:nvPicPr>
      <xdr:blipFill>
        <a:blip xmlns:r="http://schemas.openxmlformats.org/officeDocument/2006/relationships" xmlns:a="http://schemas.openxmlformats.org/drawingml/2006/main" r:embed="R5aeceb0ca0794f7d"/>
        <a:stretch xmlns:a="http://schemas.openxmlformats.org/drawingml/2006/main">
          <a:fillRect/>
        </a:stretch>
      </xdr:blipFill>
      <xdr:spPr>
        <a:prstGeom xmlns:a="http://schemas.openxmlformats.org/drawingml/2006/main" prst="rect"/>
      </xdr:spPr>
    </xdr:pic>
    <xdr:clientData/>
  </xdr:oneCellAnchor>
  <xdr:oneCellAnchor>
    <xdr:from>
      <xdr:col>1</xdr:col>
      <xdr:colOff>47625</xdr:colOff>
      <xdr:row>6</xdr:row>
      <xdr:rowOff>47625</xdr:rowOff>
    </xdr:from>
    <xdr:ext cx="1066800" cy="685800"/>
    <xdr:pic>
      <xdr:nvPicPr>
        <xdr:cNvPr id="2" name="97798d2a-a47c-4039-922b-9a054136b12d"/>
        <xdr:cNvPicPr>
          <a:picLocks xmlns:a="http://schemas.openxmlformats.org/drawingml/2006/main" noChangeAspect="1"/>
        </xdr:cNvPicPr>
      </xdr:nvPicPr>
      <xdr:blipFill>
        <a:blip xmlns:r="http://schemas.openxmlformats.org/officeDocument/2006/relationships" xmlns:a="http://schemas.openxmlformats.org/drawingml/2006/main" r:embed="R3b1cac9d15554d8c"/>
        <a:stretch xmlns:a="http://schemas.openxmlformats.org/drawingml/2006/main">
          <a:fillRect/>
        </a:stretch>
      </xdr:blipFill>
      <xdr:spPr>
        <a:prstGeom xmlns:a="http://schemas.openxmlformats.org/drawingml/2006/main" prst="rect"/>
      </xdr:spPr>
    </xdr:pic>
    <xdr:clientData/>
  </xdr:oneCellAnchor>
  <xdr:oneCellAnchor>
    <xdr:from>
      <xdr:col>1</xdr:col>
      <xdr:colOff>47625</xdr:colOff>
      <xdr:row>7</xdr:row>
      <xdr:rowOff>47625</xdr:rowOff>
    </xdr:from>
    <xdr:ext cx="1066800" cy="685800"/>
    <xdr:pic>
      <xdr:nvPicPr>
        <xdr:cNvPr id="3" name="7721d502-4319-4a73-b37e-dc00c03ecd7b"/>
        <xdr:cNvPicPr>
          <a:picLocks xmlns:a="http://schemas.openxmlformats.org/drawingml/2006/main" noChangeAspect="1"/>
        </xdr:cNvPicPr>
      </xdr:nvPicPr>
      <xdr:blipFill>
        <a:blip xmlns:r="http://schemas.openxmlformats.org/officeDocument/2006/relationships" xmlns:a="http://schemas.openxmlformats.org/drawingml/2006/main" r:embed="R1ec93e8b5cca4018"/>
        <a:stretch xmlns:a="http://schemas.openxmlformats.org/drawingml/2006/main">
          <a:fillRect/>
        </a:stretch>
      </xdr:blipFill>
      <xdr:spPr>
        <a:prstGeom xmlns:a="http://schemas.openxmlformats.org/drawingml/2006/main" prst="rect"/>
      </xdr:spPr>
    </xdr:pic>
    <xdr:clientData/>
  </xdr:oneCellAnchor>
  <xdr:oneCellAnchor>
    <xdr:from>
      <xdr:col>1</xdr:col>
      <xdr:colOff>47625</xdr:colOff>
      <xdr:row>8</xdr:row>
      <xdr:rowOff>47625</xdr:rowOff>
    </xdr:from>
    <xdr:ext cx="1066800" cy="685800"/>
    <xdr:pic>
      <xdr:nvPicPr>
        <xdr:cNvPr id="4" name="767e8827-c4d2-481e-81da-328cb2d45f2a"/>
        <xdr:cNvPicPr>
          <a:picLocks xmlns:a="http://schemas.openxmlformats.org/drawingml/2006/main" noChangeAspect="1"/>
        </xdr:cNvPicPr>
      </xdr:nvPicPr>
      <xdr:blipFill>
        <a:blip xmlns:r="http://schemas.openxmlformats.org/officeDocument/2006/relationships" xmlns:a="http://schemas.openxmlformats.org/drawingml/2006/main" r:embed="R0133dbaad1554f83"/>
        <a:stretch xmlns:a="http://schemas.openxmlformats.org/drawingml/2006/main">
          <a:fillRect/>
        </a:stretch>
      </xdr:blipFill>
      <xdr:spPr>
        <a:prstGeom xmlns:a="http://schemas.openxmlformats.org/drawingml/2006/main" prst="rect"/>
      </xdr:spPr>
    </xdr:pic>
    <xdr:clientData/>
  </xdr:oneCellAnchor>
  <xdr:oneCellAnchor>
    <xdr:from>
      <xdr:col>1</xdr:col>
      <xdr:colOff>47625</xdr:colOff>
      <xdr:row>9</xdr:row>
      <xdr:rowOff>47625</xdr:rowOff>
    </xdr:from>
    <xdr:ext cx="1066800" cy="685800"/>
    <xdr:pic>
      <xdr:nvPicPr>
        <xdr:cNvPr id="5" name="e4a3e969-1b5a-47e5-8c87-89a7813326a5"/>
        <xdr:cNvPicPr>
          <a:picLocks xmlns:a="http://schemas.openxmlformats.org/drawingml/2006/main" noChangeAspect="1"/>
        </xdr:cNvPicPr>
      </xdr:nvPicPr>
      <xdr:blipFill>
        <a:blip xmlns:r="http://schemas.openxmlformats.org/officeDocument/2006/relationships" xmlns:a="http://schemas.openxmlformats.org/drawingml/2006/main" r:embed="Rcbb1a223cf5e4dda"/>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Setup Sahla" id="{F9A69630-CBA1-4341-B873-028EAB4E98EF}"/>
</xltc:personList>
</file>

<file path=xl/tables/table1.xml><?xml version="1.0" encoding="utf-8"?>
<x:table xmlns:x="http://schemas.openxmlformats.org/spreadsheetml/2006/main" id="1" name="SelectedProductsTable" displayName="SelectedProductsTable" ref="A5:T10" headerRowCount="1" totalsRowCount="0" totalsRowShown="0">
  <x:autoFilter ref="A5:T10"/>
  <x:tableColumns count="20">
    <x:tableColumn id="1" name="Candidate ID"/>
    <x:tableColumn id="2" name="Original visual"/>
    <x:tableColumn id="3" name="Product"/>
    <x:tableColumn id="4" name="Category"/>
    <x:tableColumn id="5" name="Model"/>
    <x:tableColumn id="6" name="Problem"/>
    <x:tableColumn id="7" name="Verdict"/>
    <x:tableColumn id="8" name="Price snapshot (EGP)"/>
    <x:tableColumn id="9" name="Captured"/>
    <x:tableColumn id="10" name="Primary keyword"/>
    <x:tableColumn id="11" name="Total score"/>
    <x:tableColumn id="12" name="Problem urgency"/>
    <x:tableColumn id="13" name="Search intent"/>
    <x:tableColumn id="14" name="Availability"/>
    <x:tableColumn id="15" name="Value"/>
    <x:tableColumn id="16" name="Compatibility"/>
    <x:tableColumn id="17" name="Editorial fit"/>
    <x:tableColumn id="18" name="Visual"/>
    <x:tableColumn id="19" name="Route"/>
    <x:tableColumn id="20" name="Closest rejected alternative"/>
  </x:tableColumns>
  <x:tableStyleInfo name="TableStyleMedium2" showFirstColumn="0" showLastColumn="0" showRowStripes="1" showColumnStripes="0"/>
</x:table>
</file>

<file path=xl/tables/table2.xml><?xml version="1.0" encoding="utf-8"?>
<x:table xmlns:x="http://schemas.openxmlformats.org/spreadsheetml/2006/main" id="2" name="ProviderRegistryTable" displayName="ProviderRegistryTable" ref="A5:L15" headerRowCount="1" totalsRowCount="0" totalsRowShown="0">
  <x:autoFilter ref="A5:L15"/>
  <x:tableColumns count="12">
    <x:tableColumn id="1" name="Product ID"/>
    <x:tableColumn id="2" name="Product"/>
    <x:tableColumn id="3" name="Retailer"/>
    <x:tableColumn id="4" name="Price (EGP)"/>
    <x:tableColumn id="5" name="Captured"/>
    <x:tableColumn id="6" name="Seller / stock / fulfillment caution"/>
    <x:tableColumn id="7" name="Affiliate state"/>
    <x:tableColumn id="8" name="Noon Egypt eligibility"/>
    <x:tableColumn id="9" name="Open exact listing"/>
    <x:tableColumn id="10" name="Exact direct URL"/>
    <x:tableColumn id="11" name="Manufacturer source"/>
    <x:tableColumn id="12" name="Manufacturer exact URL"/>
  </x:tableColumns>
  <x:tableStyleInfo name="TableStyleMedium2" showFirstColumn="0" showLastColumn="0" showRowStripes="1" showColumnStripes="0"/>
</x:table>
</file>

<file path=xl/tables/table3.xml><?xml version="1.0" encoding="utf-8"?>
<x:table xmlns:x="http://schemas.openxmlformats.org/spreadsheetml/2006/main" id="3" name="KeywordMapTable" displayName="KeywordMapTable" ref="A5:N53" headerRowCount="1" totalsRowCount="0" totalsRowShown="0">
  <x:autoFilter ref="A5:N53"/>
  <x:tableColumns count="14">
    <x:tableColumn id="1" name="Keyword"/>
    <x:tableColumn id="2" name="Locale"/>
    <x:tableColumn id="3" name="Language"/>
    <x:tableColumn id="4" name="Intent"/>
    <x:tableColumn id="5" name="Problem cluster"/>
    <x:tableColumn id="6" name="Metric"/>
    <x:tableColumn id="7" name="Value"/>
    <x:tableColumn id="8" name="Unit"/>
    <x:tableColumn id="9" name="Trend direction"/>
    <x:tableColumn id="10" name="Source"/>
    <x:tableColumn id="11" name="Captured"/>
    <x:tableColumn id="12" name="Assigned route"/>
    <x:tableColumn id="13" name="Source URL"/>
    <x:tableColumn id="14" name="Notes"/>
  </x:tableColumns>
  <x:tableStyleInfo name="TableStyleMedium2" showFirstColumn="0" showLastColumn="0" showRowStripes="1" showColumnStripes="0"/>
</x:table>
</file>

<file path=xl/tables/table4.xml><?xml version="1.0" encoding="utf-8"?>
<x:table xmlns:x="http://schemas.openxmlformats.org/spreadsheetml/2006/main" id="4" name="EvidenceRegistryTable" displayName="EvidenceRegistryTable" ref="A5:N107" headerRowCount="1" totalsRowCount="0" totalsRowShown="0">
  <x:autoFilter ref="A5:N107"/>
  <x:tableColumns count="14">
    <x:tableColumn id="1" name="Evidence ID"/>
    <x:tableColumn id="2" name="Type"/>
    <x:tableColumn id="3" name="Market"/>
    <x:tableColumn id="4" name="Query / item"/>
    <x:tableColumn id="5" name="Metric"/>
    <x:tableColumn id="6" name="Value"/>
    <x:tableColumn id="7" name="Unit"/>
    <x:tableColumn id="8" name="Observation"/>
    <x:tableColumn id="9" name="Source"/>
    <x:tableColumn id="10" name="Source URL"/>
    <x:tableColumn id="11" name="Captured UTC"/>
    <x:tableColumn id="12" name="Rights"/>
    <x:tableColumn id="13" name="Used by"/>
    <x:tableColumn id="14" name="Notes"/>
  </x:tableColumns>
  <x:tableStyleInfo name="TableStyleMedium2" showFirstColumn="0" showLastColumn="0" showRowStripes="1" showColumnStripes="0"/>
</x:table>
</file>

<file path=xl/tables/table5.xml><?xml version="1.0" encoding="utf-8"?>
<x:table xmlns:x="http://schemas.openxmlformats.org/spreadsheetml/2006/main" id="5" name="ContentMapTable" displayName="ContentMapTable" ref="A5:J13" headerRowCount="1" totalsRowCount="0" totalsRowShown="0">
  <x:autoFilter ref="A5:J13"/>
  <x:tableColumns count="10">
    <x:tableColumn id="1" name="Type"/>
    <x:tableColumn id="2" name="Route"/>
    <x:tableColumn id="3" name="Primary keyword"/>
    <x:tableColumn id="4" name="Role / friction"/>
    <x:tableColumn id="5" name="Primary CTA"/>
    <x:tableColumn id="6" name="Internal links"/>
    <x:tableColumn id="7" name="Internal link count"/>
    <x:tableColumn id="8" name="Evidence IDs"/>
    <x:tableColumn id="9" name="Source file"/>
    <x:tableColumn id="10" name="Launch state"/>
  </x:tableColumns>
  <x:tableStyleInfo name="TableStyleMedium2" showFirstColumn="0" showLastColumn="0" showRowStripes="1" showColumnStripes="0"/>
</x:table>
</file>

<file path=xl/tables/table6.xml><?xml version="1.0" encoding="utf-8"?>
<x:table xmlns:x="http://schemas.openxmlformats.org/spreadsheetml/2006/main" id="6" name="OwnerActionsTable" displayName="OwnerActionsTable" ref="A5:H17" headerRowCount="1" totalsRowCount="0" totalsRowShown="0">
  <x:autoFilter ref="A5:H17"/>
  <x:tableColumns count="8">
    <x:tableColumn id="1" name="Gate ID"/>
    <x:tableColumn id="2" name="Owner input / decision"/>
    <x:tableColumn id="3" name="State"/>
    <x:tableColumn id="4" name="Phase"/>
    <x:tableColumn id="5" name="Why it matters"/>
    <x:tableColumn id="6" name="Completion evidence"/>
    <x:tableColumn id="7" name="Source"/>
    <x:tableColumn id="8"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0" dT="2026-07-15T01:46:10.837" personId="{F9A69630-CBA1-4341-B873-028EAB4E98EF}" id="{7402CA00-0C59-7E9F-4284-84B6E9CD997C}">
    <xltc:text>Source: docs/business/AFFILIATE_ACTIVATION.md and research/affiliate-program-evidence.csv. Affiliate IDs and Noon Egypt territory permission are owner-controlled inputs and are not present in this launch package.</xltc:text>
  </xltc:threadedComment>
  <xltc:threadedComment ref="J5" dT="2026-07-15T01:46:10.838" personId="{F9A69630-CBA1-4341-B873-028EAB4E98EF}" id="{AB6BADF6-FA37-FC64-9E8D-BD55B83D6F40}">
    <xltc:text>Formula-backed average of the five visible product totals. Each product total is the sum of seven visible selection components; the score is an editorial rank inside the evaluated launch set, not a performance claim.</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5ddbb055e3eb4584" /><Relationship Type="http://schemas.openxmlformats.org/officeDocument/2006/relationships/vmlDrawing" Target="/xl/drawings/vmldrawing.vml" Id="R104ed6d5c3424b54" /><Relationship Type="http://schemas.microsoft.com/office/2017/10/relationships/threadedComment" Target="/xl/threadedcomments/threadedcomment.xml" Id="R3f493571f75e4dbf" /><Relationship Type="http://schemas.openxmlformats.org/officeDocument/2006/relationships/drawing" Target="/xl/drawings/drawing1.xml" Id="Raf38862490eb4b3f" /></Relationships>
</file>

<file path=xl/worksheets/_rels/sheet2.xml.rels>&#65279;<?xml version="1.0" encoding="utf-8"?><Relationships xmlns="http://schemas.openxmlformats.org/package/2006/relationships"><Relationship Type="http://schemas.openxmlformats.org/officeDocument/2006/relationships/drawing" Target="/xl/drawings/drawing2.xml" Id="Rdaa1343b90fc4ab6" /><Relationship Type="http://schemas.openxmlformats.org/officeDocument/2006/relationships/table" Target="/xl/tables/table1.xml" Id="R64ec73ea5d014ceb" /></Relationships>
</file>

<file path=xl/worksheets/_rels/sheet3.xml.rels>&#65279;<?xml version="1.0" encoding="utf-8"?><Relationships xmlns="http://schemas.openxmlformats.org/package/2006/relationships"><Relationship Type="http://schemas.openxmlformats.org/officeDocument/2006/relationships/table" Target="/xl/tables/table2.xml" Id="Re66e98c12f734d15" /></Relationships>
</file>

<file path=xl/worksheets/_rels/sheet4.xml.rels>&#65279;<?xml version="1.0" encoding="utf-8"?><Relationships xmlns="http://schemas.openxmlformats.org/package/2006/relationships"><Relationship Type="http://schemas.openxmlformats.org/officeDocument/2006/relationships/table" Target="/xl/tables/table3.xml" Id="Rf04fecdbc5cb4111" /></Relationships>
</file>

<file path=xl/worksheets/_rels/sheet5.xml.rels>&#65279;<?xml version="1.0" encoding="utf-8"?><Relationships xmlns="http://schemas.openxmlformats.org/package/2006/relationships"><Relationship Type="http://schemas.openxmlformats.org/officeDocument/2006/relationships/table" Target="/xl/tables/table4.xml" Id="Rd808c720f304445b" /></Relationships>
</file>

<file path=xl/worksheets/_rels/sheet6.xml.rels>&#65279;<?xml version="1.0" encoding="utf-8"?><Relationships xmlns="http://schemas.openxmlformats.org/package/2006/relationships"><Relationship Type="http://schemas.openxmlformats.org/officeDocument/2006/relationships/table" Target="/xl/tables/table5.xml" Id="Rf0f5d3fa6d584fb6" /></Relationships>
</file>

<file path=xl/worksheets/_rels/sheet7.xml.rels>&#65279;<?xml version="1.0" encoding="utf-8"?><Relationships xmlns="http://schemas.openxmlformats.org/package/2006/relationships"><Relationship Type="http://schemas.openxmlformats.org/officeDocument/2006/relationships/table" Target="/xl/tables/table6.xml" Id="Re6977f1e44564994" /></Relationships>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15" hidden="0" customWidth="1"/>
    <x:col min="3" max="3" width="15" hidden="0" customWidth="1"/>
    <x:col min="4" max="4" width="11" hidden="0" customWidth="1"/>
    <x:col min="5" max="5" width="15" hidden="0" customWidth="1"/>
    <x:col min="6" max="6" width="15" hidden="0" customWidth="1"/>
    <x:col min="7" max="7" width="11" hidden="0" customWidth="1"/>
    <x:col min="8" max="8" width="15" hidden="0" customWidth="1"/>
    <x:col min="9" max="9" width="15" hidden="0" customWidth="1"/>
    <x:col min="10" max="10" width="26"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34" customHeight="1">
      <x:c r="A1" s="3" t="str">
        <x:v>SETUP SAHLA / LAUNCH CONTROL CENTER</x:v>
      </x:c>
      <x:c r="B1" s="3" t="str">
        <x:v>SETUP SAHLA / LAUNCH CONTROL CENTER</x:v>
      </x:c>
      <x:c r="C1" s="3" t="str">
        <x:v>SETUP SAHLA / LAUNCH CONTROL CENTER</x:v>
      </x:c>
      <x:c r="D1" s="3" t="str">
        <x:v>SETUP SAHLA / LAUNCH CONTROL CENTER</x:v>
      </x:c>
      <x:c r="E1" s="3" t="str">
        <x:v>SETUP SAHLA / LAUNCH CONTROL CENTER</x:v>
      </x:c>
      <x:c r="F1" s="3" t="str">
        <x:v>SETUP SAHLA / LAUNCH CONTROL CENTER</x:v>
      </x:c>
      <x:c r="G1" s="3" t="str">
        <x:v>SETUP SAHLA / LAUNCH CONTROL CENTER</x:v>
      </x:c>
      <x:c r="H1" s="3" t="str">
        <x:v>SETUP SAHLA / LAUNCH CONTROL CENTER</x:v>
      </x:c>
      <x:c r="I1" s="3" t="str">
        <x:v>SETUP SAHLA / LAUNCH CONTROL CENTER</x:v>
      </x:c>
      <x:c r="J1" s="3" t="str">
        <x:v>SETUP SAHLA / LAUNCH CONTROL CENTER</x:v>
      </x:c>
      <x:c r="K1" s="3" t="str">
        <x:v>SETUP SAHLA / LAUNCH CONTROL CENTER</x:v>
      </x:c>
      <x:c r="L1" s="3" t="str">
        <x:v>SETUP SAHLA / LAUNCH CONTROL CENTER</x:v>
      </x:c>
      <x:c r="M1" s="3" t="str">
        <x:v>SETUP SAHLA / LAUNCH CONTROL CENTER</x:v>
      </x:c>
      <x:c r="N1" s="3" t="str">
        <x:v>SETUP SAHLA / LAUNCH CONTROL CENTER</x:v>
      </x:c>
      <x:c r="O1" s="3" t="str">
        <x:v>SETUP SAHLA / LAUNCH CONTROL CENTER</x:v>
      </x:c>
      <x:c r="P1" s="3" t="str">
        <x:v>SETUP SAHLA / LAUNCH CONTROL CENTER</x:v>
      </x:c>
    </x:row>
    <x:row r="2" ht="28" customHeight="1">
      <x:c r="A2" s="7" t="str">
        <x:v>Fix the friction. Keep the gear. Egypt-first launch package with five product routes, three guides, dated provider evidence, original visuals, and direct links pending owner affiliate activation.</x:v>
      </x:c>
      <x:c r="B2" s="7" t="str">
        <x:v>Fix the friction. Keep the gear. Egypt-first launch package with five product routes, three guides, dated provider evidence, original visuals, and direct links pending owner affiliate activation.</x:v>
      </x:c>
      <x:c r="C2" s="7" t="str">
        <x:v>Fix the friction. Keep the gear. Egypt-first launch package with five product routes, three guides, dated provider evidence, original visuals, and direct links pending owner affiliate activation.</x:v>
      </x:c>
      <x:c r="D2" s="7" t="str">
        <x:v>Fix the friction. Keep the gear. Egypt-first launch package with five product routes, three guides, dated provider evidence, original visuals, and direct links pending owner affiliate activation.</x:v>
      </x:c>
      <x:c r="E2" s="7" t="str">
        <x:v>Fix the friction. Keep the gear. Egypt-first launch package with five product routes, three guides, dated provider evidence, original visuals, and direct links pending owner affiliate activation.</x:v>
      </x:c>
      <x:c r="F2" s="7" t="str">
        <x:v>Fix the friction. Keep the gear. Egypt-first launch package with five product routes, three guides, dated provider evidence, original visuals, and direct links pending owner affiliate activation.</x:v>
      </x:c>
      <x:c r="G2" s="7" t="str">
        <x:v>Fix the friction. Keep the gear. Egypt-first launch package with five product routes, three guides, dated provider evidence, original visuals, and direct links pending owner affiliate activation.</x:v>
      </x:c>
      <x:c r="H2" s="7" t="str">
        <x:v>Fix the friction. Keep the gear. Egypt-first launch package with five product routes, three guides, dated provider evidence, original visuals, and direct links pending owner affiliate activation.</x:v>
      </x:c>
      <x:c r="I2" s="7" t="str">
        <x:v>Fix the friction. Keep the gear. Egypt-first launch package with five product routes, three guides, dated provider evidence, original visuals, and direct links pending owner affiliate activation.</x:v>
      </x:c>
      <x:c r="J2" s="7" t="str">
        <x:v>Fix the friction. Keep the gear. Egypt-first launch package with five product routes, three guides, dated provider evidence, original visuals, and direct links pending owner affiliate activation.</x:v>
      </x:c>
      <x:c r="K2" s="7" t="str">
        <x:v>Fix the friction. Keep the gear. Egypt-first launch package with five product routes, three guides, dated provider evidence, original visuals, and direct links pending owner affiliate activation.</x:v>
      </x:c>
      <x:c r="L2" s="7" t="str">
        <x:v>Fix the friction. Keep the gear. Egypt-first launch package with five product routes, three guides, dated provider evidence, original visuals, and direct links pending owner affiliate activation.</x:v>
      </x:c>
      <x:c r="M2" s="7" t="str">
        <x:v>Fix the friction. Keep the gear. Egypt-first launch package with five product routes, three guides, dated provider evidence, original visuals, and direct links pending owner affiliate activation.</x:v>
      </x:c>
      <x:c r="N2" s="7" t="str">
        <x:v>Fix the friction. Keep the gear. Egypt-first launch package with five product routes, three guides, dated provider evidence, original visuals, and direct links pending owner affiliate activation.</x:v>
      </x:c>
      <x:c r="O2" s="7" t="str">
        <x:v>Fix the friction. Keep the gear. Egypt-first launch package with five product routes, three guides, dated provider evidence, original visuals, and direct links pending owner affiliate activation.</x:v>
      </x:c>
      <x:c r="P2" s="7" t="str">
        <x:v>Fix the friction. Keep the gear. Egypt-first launch package with five product routes, three guides, dated provider evidence, original visuals, and direct links pending owner affiliate activation.</x:v>
      </x:c>
    </x:row>
    <x:row r="3" ht="9" customHeight="1"/>
    <x:row r="4">
      <x:c r="A4" s="56" t="str">
        <x:v>SELECTED PRODUCTS</x:v>
      </x:c>
      <x:c r="B4" s="57" t="str">
        <x:v>SELECTED PRODUCTS</x:v>
      </x:c>
      <x:c r="C4" s="58" t="str">
        <x:v>SELECTED PRODUCTS</x:v>
      </x:c>
      <x:c r="D4" s="56" t="str">
        <x:v>CONTENT ROUTES</x:v>
      </x:c>
      <x:c r="E4" s="57" t="str">
        <x:v>CONTENT ROUTES</x:v>
      </x:c>
      <x:c r="F4" s="58" t="str">
        <x:v>CONTENT ROUTES</x:v>
      </x:c>
      <x:c r="G4" s="56" t="str">
        <x:v>OWNER GATES OPEN</x:v>
      </x:c>
      <x:c r="H4" s="57" t="str">
        <x:v>OWNER GATES OPEN</x:v>
      </x:c>
      <x:c r="I4" s="58" t="str">
        <x:v>OWNER GATES OPEN</x:v>
      </x:c>
      <x:c r="J4" s="56" t="str">
        <x:v>AVERAGE SELECTION SCORE</x:v>
      </x:c>
      <x:c r="K4" s="57" t="str">
        <x:v>AVERAGE SELECTION SCORE</x:v>
      </x:c>
      <x:c r="L4" s="58" t="str">
        <x:v>AVERAGE SELECTION SCORE</x:v>
      </x:c>
      <x:c r="M4" s="56" t="str">
        <x:v>DIRECT RETAILER LINKS</x:v>
      </x:c>
      <x:c r="N4" s="57" t="str">
        <x:v>DIRECT RETAILER LINKS</x:v>
      </x:c>
      <x:c r="O4" s="57" t="str">
        <x:v>DIRECT RETAILER LINKS</x:v>
      </x:c>
      <x:c r="P4" s="58" t="str">
        <x:v>DIRECT RETAILER LINKS</x:v>
      </x:c>
    </x:row>
    <x:row r="5">
      <x:c r="A5" s="78" t="n">
        <x:f>COUNTA('Products'!A6:A10)</x:f>
        <x:v>5</x:v>
      </x:c>
      <x:c r="B5" s="79"/>
      <x:c r="C5" s="80"/>
      <x:c r="D5" s="78" t="n">
        <x:f>COUNTA('Content Map'!B6:B13)</x:f>
        <x:v>8</x:v>
      </x:c>
      <x:c r="E5" s="79"/>
      <x:c r="F5" s="80"/>
      <x:c r="G5" s="78" t="n">
        <x:f>COUNTIF('Owner Actions'!C6:C17,"OWNER INPUT REQUIRED")</x:f>
        <x:v>10</x:v>
      </x:c>
      <x:c r="H5" s="79"/>
      <x:c r="I5" s="80"/>
      <x:c r="J5" s="78" t="n">
        <x:f>ROUND(AVERAGE('Products'!K6:K10),0)</x:f>
        <x:v>84</x:v>
      </x:c>
      <x:c r="K5" s="79"/>
      <x:c r="L5" s="80"/>
      <x:c r="M5" s="78" t="n">
        <x:f>COUNTIF('Providers'!G6:G15,"DIRECT_LINK — AFFILIATE ID REQUIRED")</x:f>
        <x:v>10</x:v>
      </x:c>
      <x:c r="N5" s="79"/>
      <x:c r="O5" s="79"/>
      <x:c r="P5" s="80"/>
    </x:row>
    <x:row r="6">
      <x:c r="A6" s="81"/>
      <x:c r="B6" s="82"/>
      <x:c r="C6" s="83"/>
      <x:c r="D6" s="81"/>
      <x:c r="E6" s="82"/>
      <x:c r="F6" s="83"/>
      <x:c r="G6" s="81"/>
      <x:c r="H6" s="82"/>
      <x:c r="I6" s="83"/>
      <x:c r="J6" s="81"/>
      <x:c r="K6" s="82"/>
      <x:c r="L6" s="83"/>
      <x:c r="M6" s="81"/>
      <x:c r="N6" s="82"/>
      <x:c r="O6" s="82"/>
      <x:c r="P6" s="83"/>
    </x:row>
    <x:row r="7">
      <x:c r="A7" s="84"/>
      <x:c r="B7" s="85"/>
      <x:c r="C7" s="86"/>
      <x:c r="D7" s="84"/>
      <x:c r="E7" s="85"/>
      <x:c r="F7" s="86"/>
      <x:c r="G7" s="84"/>
      <x:c r="H7" s="85"/>
      <x:c r="I7" s="86"/>
      <x:c r="J7" s="84"/>
      <x:c r="K7" s="85"/>
      <x:c r="L7" s="86"/>
      <x:c r="M7" s="84"/>
      <x:c r="N7" s="85"/>
      <x:c r="O7" s="85"/>
      <x:c r="P7" s="86"/>
    </x:row>
    <x:row r="9" ht="34" customHeight="1">
      <x:c r="A9" s="87" t="str">
        <x:v>AFFILIATE ACTIVATION STATE</x:v>
      </x:c>
      <x:c r="B9" s="87" t="str">
        <x:v>AFFILIATE ACTIVATION STATE</x:v>
      </x:c>
      <x:c r="C9" s="87" t="str">
        <x:v>AFFILIATE ACTIVATION STATE</x:v>
      </x:c>
      <x:c r="D9" s="87" t="str">
        <x:v>AFFILIATE ACTIVATION STATE</x:v>
      </x:c>
      <x:c r="E9" s="87" t="str">
        <x:v>AFFILIATE ACTIVATION STATE</x:v>
      </x:c>
      <x:c r="F9" s="87" t="str">
        <x:v>AFFILIATE ACTIVATION STATE</x:v>
      </x:c>
      <x:c r="G9" s="87" t="str">
        <x:v>AFFILIATE ACTIVATION STATE</x:v>
      </x:c>
      <x:c r="H9" s="87" t="str">
        <x:v>AFFILIATE ACTIVATION STATE</x:v>
      </x:c>
      <x:c r="I9" s="87" t="str">
        <x:v>AFFILIATE ACTIVATION STATE</x:v>
      </x:c>
      <x:c r="J9" s="15" t="str">
        <x:v>Product</x:v>
      </x:c>
      <x:c r="K9" s="17" t="str">
        <x:v>Score</x:v>
      </x:c>
    </x:row>
    <x:row r="10">
      <x:c r="A10" s="107" t="str">
        <x:v>DIRECT_LINK — AFFILIATE ID REQUIRED
Amazon Egypt requires owner enrollment/tag and destination-level verification.
Noon Egypt: Unverified — public terms do not establish Egypt eligibility.</x:v>
      </x:c>
      <x:c r="B10" s="108" t="str">
        <x:v>DIRECT_LINK — AFFILIATE ID REQUIRED
Amazon Egypt requires owner enrollment/tag and destination-level verification.
Noon Egypt: Unverified — public terms do not establish Egypt eligibility.</x:v>
      </x:c>
      <x:c r="C10" s="108" t="str">
        <x:v>DIRECT_LINK — AFFILIATE ID REQUIRED
Amazon Egypt requires owner enrollment/tag and destination-level verification.
Noon Egypt: Unverified — public terms do not establish Egypt eligibility.</x:v>
      </x:c>
      <x:c r="D10" s="108" t="str">
        <x:v>DIRECT_LINK — AFFILIATE ID REQUIRED
Amazon Egypt requires owner enrollment/tag and destination-level verification.
Noon Egypt: Unverified — public terms do not establish Egypt eligibility.</x:v>
      </x:c>
      <x:c r="E10" s="108" t="str">
        <x:v>DIRECT_LINK — AFFILIATE ID REQUIRED
Amazon Egypt requires owner enrollment/tag and destination-level verification.
Noon Egypt: Unverified — public terms do not establish Egypt eligibility.</x:v>
      </x:c>
      <x:c r="F10" s="108" t="str">
        <x:v>DIRECT_LINK — AFFILIATE ID REQUIRED
Amazon Egypt requires owner enrollment/tag and destination-level verification.
Noon Egypt: Unverified — public terms do not establish Egypt eligibility.</x:v>
      </x:c>
      <x:c r="G10" s="108" t="str">
        <x:v>DIRECT_LINK — AFFILIATE ID REQUIRED
Amazon Egypt requires owner enrollment/tag and destination-level verification.
Noon Egypt: Unverified — public terms do not establish Egypt eligibility.</x:v>
      </x:c>
      <x:c r="H10" s="108" t="str">
        <x:v>DIRECT_LINK — AFFILIATE ID REQUIRED
Amazon Egypt requires owner enrollment/tag and destination-level verification.
Noon Egypt: Unverified — public terms do not establish Egypt eligibility.</x:v>
      </x:c>
      <x:c r="I10" s="109" t="str">
        <x:v>DIRECT_LINK — AFFILIATE ID REQUIRED
Amazon Egypt requires owner enrollment/tag and destination-level verification.
Noon Egypt: Unverified — public terms do not establish Egypt eligibility.</x:v>
      </x:c>
      <x:c r="J10" s="25" t="str">
        <x:f>'Products'!C6</x:f>
        <x:v>Anker 332 USB-C Hub (5-in-1)</x:v>
      </x:c>
      <x:c r="K10" s="25" t="n">
        <x:f>'Products'!K6</x:f>
        <x:v>90</x:v>
      </x:c>
    </x:row>
    <x:row r="11">
      <x:c r="A11" s="110" t="str">
        <x:v>DIRECT_LINK — AFFILIATE ID REQUIRED
Amazon Egypt requires owner enrollment/tag and destination-level verification.
Noon Egypt: Unverified — public terms do not establish Egypt eligibility.</x:v>
      </x:c>
      <x:c r="B11" s="111" t="str">
        <x:v>DIRECT_LINK — AFFILIATE ID REQUIRED
Amazon Egypt requires owner enrollment/tag and destination-level verification.
Noon Egypt: Unverified — public terms do not establish Egypt eligibility.</x:v>
      </x:c>
      <x:c r="C11" s="111" t="str">
        <x:v>DIRECT_LINK — AFFILIATE ID REQUIRED
Amazon Egypt requires owner enrollment/tag and destination-level verification.
Noon Egypt: Unverified — public terms do not establish Egypt eligibility.</x:v>
      </x:c>
      <x:c r="D11" s="111" t="str">
        <x:v>DIRECT_LINK — AFFILIATE ID REQUIRED
Amazon Egypt requires owner enrollment/tag and destination-level verification.
Noon Egypt: Unverified — public terms do not establish Egypt eligibility.</x:v>
      </x:c>
      <x:c r="E11" s="111" t="str">
        <x:v>DIRECT_LINK — AFFILIATE ID REQUIRED
Amazon Egypt requires owner enrollment/tag and destination-level verification.
Noon Egypt: Unverified — public terms do not establish Egypt eligibility.</x:v>
      </x:c>
      <x:c r="F11" s="111" t="str">
        <x:v>DIRECT_LINK — AFFILIATE ID REQUIRED
Amazon Egypt requires owner enrollment/tag and destination-level verification.
Noon Egypt: Unverified — public terms do not establish Egypt eligibility.</x:v>
      </x:c>
      <x:c r="G11" s="111" t="str">
        <x:v>DIRECT_LINK — AFFILIATE ID REQUIRED
Amazon Egypt requires owner enrollment/tag and destination-level verification.
Noon Egypt: Unverified — public terms do not establish Egypt eligibility.</x:v>
      </x:c>
      <x:c r="H11" s="111" t="str">
        <x:v>DIRECT_LINK — AFFILIATE ID REQUIRED
Amazon Egypt requires owner enrollment/tag and destination-level verification.
Noon Egypt: Unverified — public terms do not establish Egypt eligibility.</x:v>
      </x:c>
      <x:c r="I11" s="112" t="str">
        <x:v>DIRECT_LINK — AFFILIATE ID REQUIRED
Amazon Egypt requires owner enrollment/tag and destination-level verification.
Noon Egypt: Unverified — public terms do not establish Egypt eligibility.</x:v>
      </x:c>
      <x:c r="J11" s="26" t="str">
        <x:f>'Products'!C7</x:f>
        <x:v>UGREEN Foldable Laptop Stand 40289</x:v>
      </x:c>
      <x:c r="K11" s="26" t="n">
        <x:f>'Products'!K7</x:f>
        <x:v>89</x:v>
      </x:c>
    </x:row>
    <x:row r="12">
      <x:c r="A12" s="113" t="str">
        <x:v>DIRECT_LINK — AFFILIATE ID REQUIRED
Amazon Egypt requires owner enrollment/tag and destination-level verification.
Noon Egypt: Unverified — public terms do not establish Egypt eligibility.</x:v>
      </x:c>
      <x:c r="B12" s="114" t="str">
        <x:v>DIRECT_LINK — AFFILIATE ID REQUIRED
Amazon Egypt requires owner enrollment/tag and destination-level verification.
Noon Egypt: Unverified — public terms do not establish Egypt eligibility.</x:v>
      </x:c>
      <x:c r="C12" s="114" t="str">
        <x:v>DIRECT_LINK — AFFILIATE ID REQUIRED
Amazon Egypt requires owner enrollment/tag and destination-level verification.
Noon Egypt: Unverified — public terms do not establish Egypt eligibility.</x:v>
      </x:c>
      <x:c r="D12" s="114" t="str">
        <x:v>DIRECT_LINK — AFFILIATE ID REQUIRED
Amazon Egypt requires owner enrollment/tag and destination-level verification.
Noon Egypt: Unverified — public terms do not establish Egypt eligibility.</x:v>
      </x:c>
      <x:c r="E12" s="114" t="str">
        <x:v>DIRECT_LINK — AFFILIATE ID REQUIRED
Amazon Egypt requires owner enrollment/tag and destination-level verification.
Noon Egypt: Unverified — public terms do not establish Egypt eligibility.</x:v>
      </x:c>
      <x:c r="F12" s="114" t="str">
        <x:v>DIRECT_LINK — AFFILIATE ID REQUIRED
Amazon Egypt requires owner enrollment/tag and destination-level verification.
Noon Egypt: Unverified — public terms do not establish Egypt eligibility.</x:v>
      </x:c>
      <x:c r="G12" s="114" t="str">
        <x:v>DIRECT_LINK — AFFILIATE ID REQUIRED
Amazon Egypt requires owner enrollment/tag and destination-level verification.
Noon Egypt: Unverified — public terms do not establish Egypt eligibility.</x:v>
      </x:c>
      <x:c r="H12" s="114" t="str">
        <x:v>DIRECT_LINK — AFFILIATE ID REQUIRED
Amazon Egypt requires owner enrollment/tag and destination-level verification.
Noon Egypt: Unverified — public terms do not establish Egypt eligibility.</x:v>
      </x:c>
      <x:c r="I12" s="115" t="str">
        <x:v>DIRECT_LINK — AFFILIATE ID REQUIRED
Amazon Egypt requires owner enrollment/tag and destination-level verification.
Noon Egypt: Unverified — public terms do not establish Egypt eligibility.</x:v>
      </x:c>
      <x:c r="J12" s="26" t="str">
        <x:f>'Products'!C8</x:f>
        <x:v>Havit F2069 Laptop Cooling Pad</x:v>
      </x:c>
      <x:c r="K12" s="26" t="n">
        <x:f>'Products'!K8</x:f>
        <x:v>84</x:v>
      </x:c>
    </x:row>
    <x:row r="13">
      <x:c r="J13" s="26" t="str">
        <x:f>'Products'!C9</x:f>
        <x:v>JOYROOM JR-ZS368 Magnetic Cable Organizer (6 pcs)</x:v>
      </x:c>
      <x:c r="K13" s="26" t="n">
        <x:f>'Products'!K9</x:f>
        <x:v>77</x:v>
      </x:c>
    </x:row>
    <x:row r="14">
      <x:c r="A14" s="8" t="str">
        <x:v>LAUNCH CONTROL / DO NOT CLAIM</x:v>
      </x:c>
      <x:c r="B14" s="8" t="str">
        <x:v>LAUNCH CONTROL / DO NOT CLAIM</x:v>
      </x:c>
      <x:c r="C14" s="8" t="str">
        <x:v>LAUNCH CONTROL / DO NOT CLAIM</x:v>
      </x:c>
      <x:c r="D14" s="8" t="str">
        <x:v>LAUNCH CONTROL / DO NOT CLAIM</x:v>
      </x:c>
      <x:c r="E14" s="8" t="str">
        <x:v>LAUNCH CONTROL / DO NOT CLAIM</x:v>
      </x:c>
      <x:c r="F14" s="8" t="str">
        <x:v>LAUNCH CONTROL / DO NOT CLAIM</x:v>
      </x:c>
      <x:c r="G14" s="8" t="str">
        <x:v>LAUNCH CONTROL / DO NOT CLAIM</x:v>
      </x:c>
      <x:c r="H14" s="8" t="str">
        <x:v>LAUNCH CONTROL / DO NOT CLAIM</x:v>
      </x:c>
      <x:c r="I14" s="8" t="str">
        <x:v>LAUNCH CONTROL / DO NOT CLAIM</x:v>
      </x:c>
      <x:c r="J14" s="27" t="str">
        <x:f>'Products'!C10</x:f>
        <x:v>Logitech Signature M650 Wireless Mouse (small/medium, graphite)</x:v>
      </x:c>
      <x:c r="K14" s="27" t="n">
        <x:f>'Products'!K10</x:f>
        <x:v>80</x:v>
      </x:c>
    </x:row>
    <x:row r="15" ht="28" customHeight="1">
      <x:c r="A15" s="120" t="str">
        <x:v>1</x:v>
      </x:c>
      <x:c r="B15" s="124" t="str">
        <x:v>Prices, stock, sellers, fulfillment, returns, and listing identity are dated snapshots.</x:v>
      </x:c>
      <x:c r="C15" s="124"/>
      <x:c r="D15" s="124"/>
      <x:c r="E15" s="124"/>
      <x:c r="F15" s="124"/>
      <x:c r="G15" s="124"/>
      <x:c r="H15" s="124"/>
      <x:c r="I15" s="124"/>
    </x:row>
    <x:row r="16" ht="28" customHeight="1">
      <x:c r="A16" s="120" t="str">
        <x:v>2</x:v>
      </x:c>
      <x:c r="B16" s="124" t="str">
        <x:v>Autocomplete presence is qualitative search-language evidence, not search volume or trend strength.</x:v>
      </x:c>
      <x:c r="C16" s="124"/>
      <x:c r="D16" s="124"/>
      <x:c r="E16" s="124"/>
      <x:c r="F16" s="124"/>
      <x:c r="G16" s="124"/>
      <x:c r="H16" s="124"/>
      <x:c r="I16" s="124"/>
    </x:row>
    <x:row r="17" ht="28" customHeight="1">
      <x:c r="A17" s="120" t="str">
        <x:v>3</x:v>
      </x:c>
      <x:c r="B17" s="124" t="str">
        <x:v>Retailer outbound clicks are navigation, not purchases, orders, commission, or revenue.</x:v>
      </x:c>
      <x:c r="C17" s="124"/>
      <x:c r="D17" s="124"/>
      <x:c r="E17" s="124"/>
      <x:c r="F17" s="124"/>
      <x:c r="G17" s="124"/>
      <x:c r="H17" s="124"/>
      <x:c r="I17" s="124"/>
    </x:row>
    <x:row r="18" ht="28" customHeight="1">
      <x:c r="A18" s="120" t="str">
        <x:v>4</x:v>
      </x:c>
      <x:c r="B18" s="124" t="str">
        <x:v>The MENA posture is design readiness; launch demand and provider evidence is Egypt-specific.</x:v>
      </x:c>
      <x:c r="C18" s="124"/>
      <x:c r="D18" s="124"/>
      <x:c r="E18" s="124"/>
      <x:c r="F18" s="124"/>
      <x:c r="G18" s="124"/>
      <x:c r="H18" s="124"/>
      <x:c r="I18" s="124"/>
    </x:row>
    <x:row r="19" ht="28" customHeight="1">
      <x:c r="A19" s="120" t="str">
        <x:v>5</x:v>
      </x:c>
      <x:c r="B19" s="124" t="str">
        <x:v>Public visuals are original. Retailer/manufacturer imagery is source-link-only unless permission is current.</x:v>
      </x:c>
      <x:c r="C19" s="124"/>
      <x:c r="D19" s="124"/>
      <x:c r="E19" s="124"/>
      <x:c r="F19" s="124"/>
      <x:c r="G19" s="124"/>
      <x:c r="H19" s="124"/>
      <x:c r="I19" s="124"/>
    </x:row>
    <x:row r="20" ht="28" customHeight="1">
      <x:c r="A20" s="120" t="str">
        <x:v>6</x:v>
      </x:c>
      <x:c r="B20" s="124" t="str">
        <x:v>Compatibility, trade-offs, and skip guidance must precede every commercial CTA.</x:v>
      </x:c>
      <x:c r="C20" s="124"/>
      <x:c r="D20" s="124"/>
      <x:c r="E20" s="124"/>
      <x:c r="F20" s="124"/>
      <x:c r="G20" s="124"/>
      <x:c r="H20" s="124"/>
      <x:c r="I20" s="124"/>
    </x:row>
    <x:row r="21" ht="28" customHeight="1">
      <x:c r="A21" s="120" t="str">
        <x:v>7</x:v>
      </x:c>
      <x:c r="B21" s="124" t="str">
        <x:v>A failed or changed-model link is disabled immediately before documentation follows.</x:v>
      </x:c>
      <x:c r="C21" s="124"/>
      <x:c r="D21" s="124"/>
      <x:c r="E21" s="124"/>
      <x:c r="F21" s="124"/>
      <x:c r="G21" s="124"/>
      <x:c r="H21" s="124"/>
      <x:c r="I21" s="124"/>
    </x:row>
    <x:row r="22" ht="28" customHeight="1">
      <x:c r="A22" s="120" t="str">
        <x:v>8</x:v>
      </x:c>
      <x:c r="B22" s="124" t="str">
        <x:v>No numeric traffic, conversion, commission, or revenue forecast is in this launch package.</x:v>
      </x:c>
      <x:c r="C22" s="124"/>
      <x:c r="D22" s="124"/>
      <x:c r="E22" s="124"/>
      <x:c r="F22" s="124"/>
      <x:c r="G22" s="124"/>
      <x:c r="H22" s="124"/>
      <x:c r="I22" s="124"/>
    </x:row>
    <x:row r="25">
      <x:c r="A25" s="8" t="str">
        <x:v>SOURCE FRESHNESS / COUNTS</x:v>
      </x:c>
      <x:c r="B25" s="8" t="str">
        <x:v>SOURCE FRESHNESS / COUNTS</x:v>
      </x:c>
      <x:c r="C25" s="8" t="str">
        <x:v>SOURCE FRESHNESS / COUNTS</x:v>
      </x:c>
      <x:c r="D25" s="8" t="str">
        <x:v>SOURCE FRESHNESS / COUNTS</x:v>
      </x:c>
      <x:c r="E25" s="8" t="str">
        <x:v>SOURCE FRESHNESS / COUNTS</x:v>
      </x:c>
      <x:c r="F25" s="8" t="str">
        <x:v>SOURCE FRESHNESS / COUNTS</x:v>
      </x:c>
      <x:c r="G25" s="8" t="str">
        <x:v>SOURCE FRESHNESS / COUNTS</x:v>
      </x:c>
      <x:c r="H25" s="8" t="str">
        <x:v>SOURCE FRESHNESS / COUNTS</x:v>
      </x:c>
      <x:c r="I25" s="8" t="str">
        <x:v>SOURCE FRESHNESS / COUNTS</x:v>
      </x:c>
    </x:row>
    <x:row r="26">
      <x:c r="A26" s="128" t="str">
        <x:v>Evidence rows</x:v>
      </x:c>
      <x:c r="B26" s="128" t="str">
        <x:v>Evidence rows</x:v>
      </x:c>
      <x:c r="C26" s="128" t="str">
        <x:v>Keyword rows</x:v>
      </x:c>
      <x:c r="D26" s="128" t="str">
        <x:v>Keyword rows</x:v>
      </x:c>
    </x:row>
    <x:row r="27">
      <x:c r="A27" s="130" t="n">
        <x:f>COUNTA('Evidence'!A6:A107)</x:f>
        <x:v>102</x:v>
      </x:c>
      <x:c r="B27" s="130"/>
      <x:c r="C27" s="130" t="n">
        <x:f>COUNTA('Keywords'!A6:A53)</x:f>
        <x:v>48</x:v>
      </x:c>
      <x:c r="D27" s="130"/>
    </x:row>
    <x:row r="28">
      <x:c r="A28" s="130" t="str">
        <x:v>Amazon provider rows</x:v>
      </x:c>
      <x:c r="B28" s="130" t="str">
        <x:v>Amazon provider rows</x:v>
      </x:c>
      <x:c r="C28" s="130" t="str">
        <x:v>Noon provider rows</x:v>
      </x:c>
      <x:c r="D28" s="130" t="str">
        <x:v>Noon provider rows</x:v>
      </x:c>
    </x:row>
    <x:row r="29">
      <x:c r="A29" s="130" t="n">
        <x:f>COUNTIF('Providers'!C6:C15,"Amazon Egypt")</x:f>
        <x:v>5</x:v>
      </x:c>
      <x:c r="B29" s="130"/>
      <x:c r="C29" s="130" t="n">
        <x:f>COUNTIF('Providers'!C6:C15,"Noon Egypt")</x:f>
        <x:v>5</x:v>
      </x:c>
      <x:c r="D29" s="130"/>
    </x:row>
  </x:sheetData>
  <x:mergeCells>
    <x:mergeCell ref="A1:P1"/>
    <x:mergeCell ref="A2:P2"/>
    <x:mergeCell ref="A4:C4"/>
    <x:mergeCell ref="A5:C7"/>
    <x:mergeCell ref="D4:F4"/>
    <x:mergeCell ref="D5:F7"/>
    <x:mergeCell ref="G4:I4"/>
    <x:mergeCell ref="G5:I7"/>
    <x:mergeCell ref="J4:L4"/>
    <x:mergeCell ref="J5:L7"/>
    <x:mergeCell ref="M4:P4"/>
    <x:mergeCell ref="M5:P7"/>
    <x:mergeCell ref="A9:I9"/>
    <x:mergeCell ref="A10:I12"/>
    <x:mergeCell ref="A14:I14"/>
    <x:mergeCell ref="B15:I15"/>
    <x:mergeCell ref="B16:I16"/>
    <x:mergeCell ref="B17:I17"/>
    <x:mergeCell ref="B18:I18"/>
    <x:mergeCell ref="B19:I19"/>
    <x:mergeCell ref="B20:I20"/>
    <x:mergeCell ref="B21:I21"/>
    <x:mergeCell ref="B22:I22"/>
    <x:mergeCell ref="A25:I25"/>
    <x:mergeCell ref="A26:B26"/>
    <x:mergeCell ref="C26:D26"/>
    <x:mergeCell ref="A28:B28"/>
    <x:mergeCell ref="C28:D28"/>
    <x:mergeCell ref="A27:B27"/>
    <x:mergeCell ref="C27:D27"/>
    <x:mergeCell ref="A29:B29"/>
    <x:mergeCell ref="C29:D29"/>
  </x:mergeCells>
  <x:pageMargins left="0.7" right="0.7" top="0.75" bottom="0.75" header="0.3" footer="0.3"/>
  <x:drawing xmlns:r="http://schemas.openxmlformats.org/officeDocument/2006/relationships" r:id="Raf38862490eb4b3f"/>
  <x:legacyDrawing xmlns:r="http://schemas.openxmlformats.org/officeDocument/2006/relationships" r:id="R104ed6d5c3424b54"/>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29" hidden="0" customWidth="1"/>
    <x:col min="4" max="4" width="24" hidden="0" customWidth="1"/>
    <x:col min="5" max="5" width="19" hidden="0" customWidth="1"/>
    <x:col min="6" max="6" width="46" hidden="0" customWidth="1"/>
    <x:col min="7" max="7" width="58" hidden="0" customWidth="1"/>
    <x:col min="8" max="8" width="18" hidden="0" customWidth="1"/>
    <x:col min="9" max="9" width="13" hidden="0" customWidth="1"/>
    <x:col min="10" max="10" width="22" hidden="0" customWidth="1"/>
    <x:col min="11" max="11" width="12" hidden="0" customWidth="1"/>
    <x:col min="12" max="12" width="12" hidden="0" customWidth="1"/>
    <x:col min="13" max="13" width="12" hidden="0" customWidth="1"/>
    <x:col min="14" max="14" width="12" hidden="0" customWidth="1"/>
    <x:col min="15" max="15" width="10" hidden="0" customWidth="1"/>
    <x:col min="16" max="16" width="12" hidden="0" customWidth="1"/>
    <x:col min="17" max="17" width="12" hidden="0" customWidth="1"/>
    <x:col min="18" max="18" width="9" hidden="0" customWidth="1"/>
    <x:col min="19" max="19" width="30" hidden="0" customWidth="1"/>
    <x:col min="20" max="20" width="62" hidden="0" customWidth="1"/>
  </x:cols>
  <x:sheetData>
    <x:row r="1" ht="34" customHeight="1">
      <x:c r="A1" s="3" t="str">
        <x:v>SETUP SAHLA / SELECTED PRODUCTS</x:v>
      </x:c>
      <x:c r="B1" s="3" t="str">
        <x:v>SETUP SAHLA / SELECTED PRODUCTS</x:v>
      </x:c>
      <x:c r="C1" s="3" t="str">
        <x:v>SETUP SAHLA / SELECTED PRODUCTS</x:v>
      </x:c>
      <x:c r="D1" s="3" t="str">
        <x:v>SETUP SAHLA / SELECTED PRODUCTS</x:v>
      </x:c>
      <x:c r="E1" s="3" t="str">
        <x:v>SETUP SAHLA / SELECTED PRODUCTS</x:v>
      </x:c>
      <x:c r="F1" s="3" t="str">
        <x:v>SETUP SAHLA / SELECTED PRODUCTS</x:v>
      </x:c>
      <x:c r="G1" s="3" t="str">
        <x:v>SETUP SAHLA / SELECTED PRODUCTS</x:v>
      </x:c>
      <x:c r="H1" s="3" t="str">
        <x:v>SETUP SAHLA / SELECTED PRODUCTS</x:v>
      </x:c>
      <x:c r="I1" s="3" t="str">
        <x:v>SETUP SAHLA / SELECTED PRODUCTS</x:v>
      </x:c>
      <x:c r="J1" s="3" t="str">
        <x:v>SETUP SAHLA / SELECTED PRODUCTS</x:v>
      </x:c>
      <x:c r="K1" s="3" t="str">
        <x:v>SETUP SAHLA / SELECTED PRODUCTS</x:v>
      </x:c>
      <x:c r="L1" s="3" t="str">
        <x:v>SETUP SAHLA / SELECTED PRODUCTS</x:v>
      </x:c>
      <x:c r="M1" s="3" t="str">
        <x:v>SETUP SAHLA / SELECTED PRODUCTS</x:v>
      </x:c>
      <x:c r="N1" s="3" t="str">
        <x:v>SETUP SAHLA / SELECTED PRODUCTS</x:v>
      </x:c>
      <x:c r="O1" s="3" t="str">
        <x:v>SETUP SAHLA / SELECTED PRODUCTS</x:v>
      </x:c>
      <x:c r="P1" s="3" t="str">
        <x:v>SETUP SAHLA / SELECTED PRODUCTS</x:v>
      </x:c>
      <x:c r="Q1" s="3" t="str">
        <x:v>SETUP SAHLA / SELECTED PRODUCTS</x:v>
      </x:c>
      <x:c r="R1" s="3" t="str">
        <x:v>SETUP SAHLA / SELECTED PRODUCTS</x:v>
      </x:c>
      <x:c r="S1" s="3" t="str">
        <x:v>SETUP SAHLA / SELECTED PRODUCTS</x:v>
      </x:c>
      <x:c r="T1" s="3" t="str">
        <x:v>SETUP SAHLA / SELECTED PRODUCTS</x:v>
      </x:c>
    </x:row>
    <x:row r="2" ht="28" customHeight="1">
      <x:c r="A2" s="7" t="str">
        <x:v>Five launch products. Total score is formula-driven from seven visible components. Prices are dated EGP snapshots, not current-price claims.</x:v>
      </x:c>
      <x:c r="B2" s="7" t="str">
        <x:v>Five launch products. Total score is formula-driven from seven visible components. Prices are dated EGP snapshots, not current-price claims.</x:v>
      </x:c>
      <x:c r="C2" s="7" t="str">
        <x:v>Five launch products. Total score is formula-driven from seven visible components. Prices are dated EGP snapshots, not current-price claims.</x:v>
      </x:c>
      <x:c r="D2" s="7" t="str">
        <x:v>Five launch products. Total score is formula-driven from seven visible components. Prices are dated EGP snapshots, not current-price claims.</x:v>
      </x:c>
      <x:c r="E2" s="7" t="str">
        <x:v>Five launch products. Total score is formula-driven from seven visible components. Prices are dated EGP snapshots, not current-price claims.</x:v>
      </x:c>
      <x:c r="F2" s="7" t="str">
        <x:v>Five launch products. Total score is formula-driven from seven visible components. Prices are dated EGP snapshots, not current-price claims.</x:v>
      </x:c>
      <x:c r="G2" s="7" t="str">
        <x:v>Five launch products. Total score is formula-driven from seven visible components. Prices are dated EGP snapshots, not current-price claims.</x:v>
      </x:c>
      <x:c r="H2" s="7" t="str">
        <x:v>Five launch products. Total score is formula-driven from seven visible components. Prices are dated EGP snapshots, not current-price claims.</x:v>
      </x:c>
      <x:c r="I2" s="7" t="str">
        <x:v>Five launch products. Total score is formula-driven from seven visible components. Prices are dated EGP snapshots, not current-price claims.</x:v>
      </x:c>
      <x:c r="J2" s="7" t="str">
        <x:v>Five launch products. Total score is formula-driven from seven visible components. Prices are dated EGP snapshots, not current-price claims.</x:v>
      </x:c>
      <x:c r="K2" s="7" t="str">
        <x:v>Five launch products. Total score is formula-driven from seven visible components. Prices are dated EGP snapshots, not current-price claims.</x:v>
      </x:c>
      <x:c r="L2" s="7" t="str">
        <x:v>Five launch products. Total score is formula-driven from seven visible components. Prices are dated EGP snapshots, not current-price claims.</x:v>
      </x:c>
      <x:c r="M2" s="7" t="str">
        <x:v>Five launch products. Total score is formula-driven from seven visible components. Prices are dated EGP snapshots, not current-price claims.</x:v>
      </x:c>
      <x:c r="N2" s="7" t="str">
        <x:v>Five launch products. Total score is formula-driven from seven visible components. Prices are dated EGP snapshots, not current-price claims.</x:v>
      </x:c>
      <x:c r="O2" s="7" t="str">
        <x:v>Five launch products. Total score is formula-driven from seven visible components. Prices are dated EGP snapshots, not current-price claims.</x:v>
      </x:c>
      <x:c r="P2" s="7" t="str">
        <x:v>Five launch products. Total score is formula-driven from seven visible components. Prices are dated EGP snapshots, not current-price claims.</x:v>
      </x:c>
      <x:c r="Q2" s="7" t="str">
        <x:v>Five launch products. Total score is formula-driven from seven visible components. Prices are dated EGP snapshots, not current-price claims.</x:v>
      </x:c>
      <x:c r="R2" s="7" t="str">
        <x:v>Five launch products. Total score is formula-driven from seven visible components. Prices are dated EGP snapshots, not current-price claims.</x:v>
      </x:c>
      <x:c r="S2" s="7" t="str">
        <x:v>Five launch products. Total score is formula-driven from seven visible components. Prices are dated EGP snapshots, not current-price claims.</x:v>
      </x:c>
      <x:c r="T2" s="7" t="str">
        <x:v>Five launch products. Total score is formula-driven from seven visible components. Prices are dated EGP snapshots, not current-price claims.</x:v>
      </x:c>
    </x:row>
    <x:row r="3" ht="9" customHeight="1"/>
    <x:row r="5" ht="34" customHeight="1">
      <x:c r="A5" s="15" t="str">
        <x:v>Candidate ID</x:v>
      </x:c>
      <x:c r="B5" s="16" t="str">
        <x:v>Original visual</x:v>
      </x:c>
      <x:c r="C5" s="16" t="str">
        <x:v>Product</x:v>
      </x:c>
      <x:c r="D5" s="16" t="str">
        <x:v>Category</x:v>
      </x:c>
      <x:c r="E5" s="16" t="str">
        <x:v>Model</x:v>
      </x:c>
      <x:c r="F5" s="16" t="str">
        <x:v>Problem</x:v>
      </x:c>
      <x:c r="G5" s="16" t="str">
        <x:v>Verdict</x:v>
      </x:c>
      <x:c r="H5" s="16" t="str">
        <x:v>Price snapshot (EGP)</x:v>
      </x:c>
      <x:c r="I5" s="16" t="str">
        <x:v>Captured</x:v>
      </x:c>
      <x:c r="J5" s="16" t="str">
        <x:v>Primary keyword</x:v>
      </x:c>
      <x:c r="K5" s="16" t="str">
        <x:v>Total score</x:v>
      </x:c>
      <x:c r="L5" s="16" t="str">
        <x:v>Problem urgency</x:v>
      </x:c>
      <x:c r="M5" s="16" t="str">
        <x:v>Search intent</x:v>
      </x:c>
      <x:c r="N5" s="16" t="str">
        <x:v>Availability</x:v>
      </x:c>
      <x:c r="O5" s="16" t="str">
        <x:v>Value</x:v>
      </x:c>
      <x:c r="P5" s="16" t="str">
        <x:v>Compatibility</x:v>
      </x:c>
      <x:c r="Q5" s="16" t="str">
        <x:v>Editorial fit</x:v>
      </x:c>
      <x:c r="R5" s="16" t="str">
        <x:v>Visual</x:v>
      </x:c>
      <x:c r="S5" s="16" t="str">
        <x:v>Route</x:v>
      </x:c>
      <x:c r="T5" s="17" t="str">
        <x:v>Closest rejected alternative</x:v>
      </x:c>
    </x:row>
    <x:row r="6" ht="92" customHeight="1">
      <x:c r="A6" s="25" t="str">
        <x:v>PP-C01</x:v>
      </x:c>
      <x:c r="B6" s="25" t="str">
        <x:v>ORIGINAL</x:v>
      </x:c>
      <x:c r="C6" s="25" t="str">
        <x:v>Anker 332 USB-C Hub (5-in-1)</x:v>
      </x:c>
      <x:c r="D6" s="25" t="str">
        <x:v>Ports and connectivity</x:v>
      </x:c>
      <x:c r="E6" s="25" t="str">
        <x:v>A8355 / A8355H11</x:v>
      </x:c>
      <x:c r="F6" s="25" t="str">
        <x:v>A USB-C laptop has too few data ports and needs a verified path to HDMI plus pass-through charging.</x:v>
      </x:c>
      <x:c r="G6" s="25" t="str">
        <x:v>Selected for a compatibility-first hub page because the A8355 family has a manufacturer specification and exact Amazon Egypt and Noon Egypt product pages. It is useful only after the buyer verifies USB-C video support and supplies a compliant charger and cable.</x:v>
      </x:c>
      <x:c r="H6" s="28" t="n">
        <x:v>1539</x:v>
      </x:c>
      <x:c r="I6" s="31" t="n">
        <x:v>46218</x:v>
      </x:c>
      <x:c r="J6" s="25" t="str">
        <x:v>usb c hub</x:v>
      </x:c>
      <x:c r="K6" s="34" t="n">
        <x:f>SUM(L6:R6)</x:f>
        <x:v>90</x:v>
      </x:c>
      <x:c r="L6" s="34" t="n">
        <x:v>23</x:v>
      </x:c>
      <x:c r="M6" s="34" t="n">
        <x:v>18</x:v>
      </x:c>
      <x:c r="N6" s="34" t="n">
        <x:v>15</x:v>
      </x:c>
      <x:c r="O6" s="34" t="n">
        <x:v>12</x:v>
      </x:c>
      <x:c r="P6" s="34" t="n">
        <x:v>9</x:v>
      </x:c>
      <x:c r="Q6" s="34" t="n">
        <x:v>9</x:v>
      </x:c>
      <x:c r="R6" s="34" t="n">
        <x:v>4</x:v>
      </x:c>
      <x:c r="S6" s="25" t="str">
        <x:v>/products/usb-c-hub/</x:v>
      </x:c>
      <x:c r="T6" s="25" t="str">
        <x:v>Baseus UltraJoy BS-OH150 lost because no verified Amazon Egypt exact-model product page was found, leaving single-retailer dependence.</x:v>
      </x:c>
    </x:row>
    <x:row r="7" ht="92" customHeight="1">
      <x:c r="A7" s="26" t="str">
        <x:v>PP-C04</x:v>
      </x:c>
      <x:c r="B7" s="26" t="str">
        <x:v>ORIGINAL</x:v>
      </x:c>
      <x:c r="C7" s="26" t="str">
        <x:v>UGREEN Foldable Laptop Stand 40289</x:v>
      </x:c>
      <x:c r="D7" s="26" t="str">
        <x:v>Posture and desk positioning</x:v>
      </x:c>
      <x:c r="E7" s="26" t="str">
        <x:v>LP451 / 40289</x:v>
      </x:c>
      <x:c r="F7" s="26" t="str">
        <x:v>A laptop screen sits too low for a desk workflow and needs adjustable elevation without hiding the base ventilation area.</x:v>
      </x:c>
      <x:c r="G7" s="26" t="str">
        <x:v>Selected as a simple elevation tool with an exact model trail across the manufacturer, Amazon Egypt, and Noon Egypt. Raising the laptop does not by itself create an ergonomic workstation; an external keyboard and mouse are the practical fit gate.</x:v>
      </x:c>
      <x:c r="H7" s="29" t="n">
        <x:v>666</x:v>
      </x:c>
      <x:c r="I7" s="32" t="n">
        <x:v>46218</x:v>
      </x:c>
      <x:c r="J7" s="26" t="str">
        <x:v>laptop stand</x:v>
      </x:c>
      <x:c r="K7" s="35" t="n">
        <x:f>SUM(L7:R7)</x:f>
        <x:v>89</x:v>
      </x:c>
      <x:c r="L7" s="35" t="n">
        <x:v>18</x:v>
      </x:c>
      <x:c r="M7" s="35" t="n">
        <x:v>18</x:v>
      </x:c>
      <x:c r="N7" s="35" t="n">
        <x:v>15</x:v>
      </x:c>
      <x:c r="O7" s="35" t="n">
        <x:v>14</x:v>
      </x:c>
      <x:c r="P7" s="35" t="n">
        <x:v>10</x:v>
      </x:c>
      <x:c r="Q7" s="35" t="n">
        <x:v>9</x:v>
      </x:c>
      <x:c r="R7" s="35" t="n">
        <x:v>5</x:v>
      </x:c>
      <x:c r="S7" s="26" t="str">
        <x:v>/products/laptop-stand/</x:v>
      </x:c>
      <x:c r="T7" s="26" t="str">
        <x:v>UGREEN LP230 / 80348 lost because its specification source was a regional distributor, no Amazon Egypt exact page was verified, and the Noon seller was not retained.</x:v>
      </x:c>
    </x:row>
    <x:row r="8" ht="92" customHeight="1">
      <x:c r="A8" s="26" t="str">
        <x:v>PP-C15</x:v>
      </x:c>
      <x:c r="B8" s="26" t="str">
        <x:v>ORIGINAL</x:v>
      </x:c>
      <x:c r="C8" s="26" t="str">
        <x:v>Havit F2069 Laptop Cooling Pad</x:v>
      </x:c>
      <x:c r="D8" s="26" t="str">
        <x:v>Thermal management</x:v>
      </x:c>
      <x:c r="E8" s="26" t="str">
        <x:v>HV-F2069 / F2069</x:v>
      </x:c>
      <x:c r="F8" s="26" t="str">
        <x:v>A 15.6–17.3-inch laptop needs more space and USB-powered airflow below its base.</x:v>
      </x:c>
      <x:c r="G8" s="26" t="str">
        <x:v>Selected among the 15 researched candidates as the only cooling-pad candidate with exact live pages on both Egypt retailers and an official model specification. It is a USB-powered accessory, not an internal laptop repair or a promise to reduce temperature by a stated amount.</x:v>
      </x:c>
      <x:c r="H8" s="29" t="n">
        <x:v>1035</x:v>
      </x:c>
      <x:c r="I8" s="32" t="n">
        <x:v>46218</x:v>
      </x:c>
      <x:c r="J8" s="26" t="str">
        <x:v>laptop cooling pad</x:v>
      </x:c>
      <x:c r="K8" s="35" t="n">
        <x:f>SUM(L8:R8)</x:f>
        <x:v>84</x:v>
      </x:c>
      <x:c r="L8" s="35" t="n">
        <x:v>19</x:v>
      </x:c>
      <x:c r="M8" s="35" t="n">
        <x:v>16</x:v>
      </x:c>
      <x:c r="N8" s="35" t="n">
        <x:v>15</x:v>
      </x:c>
      <x:c r="O8" s="35" t="n">
        <x:v>12</x:v>
      </x:c>
      <x:c r="P8" s="35" t="n">
        <x:v>8</x:v>
      </x:c>
      <x:c r="Q8" s="35" t="n">
        <x:v>9</x:v>
      </x:c>
      <x:c r="R8" s="35" t="n">
        <x:v>5</x:v>
      </x:c>
      <x:c r="S8" s="26" t="str">
        <x:v>/products/laptop-cooling-pad/</x:v>
      </x:c>
      <x:c r="T8" s="26" t="str">
        <x:v>DeepCool U PAL lost because no verified Amazon Egypt exact-model page was found and the Noon seller identity was not retained.</x:v>
      </x:c>
    </x:row>
    <x:row r="9" ht="92" customHeight="1">
      <x:c r="A9" s="26" t="str">
        <x:v>PP-C09</x:v>
      </x:c>
      <x:c r="B9" s="26" t="str">
        <x:v>ORIGINAL</x:v>
      </x:c>
      <x:c r="C9" s="26" t="str">
        <x:v>JOYROOM JR-ZS368 Magnetic Cable Organizer (6 pcs)</x:v>
      </x:c>
      <x:c r="D9" s="26" t="str">
        <x:v>Cable control</x:v>
      </x:c>
      <x:c r="E9" s="26" t="str">
        <x:v>JR-ZS368 (6-piece variant)</x:v>
      </x:c>
      <x:c r="F9" s="26" t="str">
        <x:v>Charging and peripheral cables slide away from the desk edge and need small fixed anchor points.</x:v>
      </x:c>
      <x:c r="G9" s="26" t="str">
        <x:v>Selected because the six-piece JR-ZS368 variant has a manufacturer identity and exact Amazon Egypt and Noon Egypt pages. It solves cable reach, not full under-desk power-strip management, and its dated provider prices were far apart.</x:v>
      </x:c>
      <x:c r="H9" s="29" t="n">
        <x:v>279</x:v>
      </x:c>
      <x:c r="I9" s="32" t="n">
        <x:v>46218</x:v>
      </x:c>
      <x:c r="J9" s="26" t="str">
        <x:v>cable management desk</x:v>
      </x:c>
      <x:c r="K9" s="35" t="n">
        <x:f>SUM(L9:R9)</x:f>
        <x:v>77</x:v>
      </x:c>
      <x:c r="L9" s="35" t="n">
        <x:v>14</x:v>
      </x:c>
      <x:c r="M9" s="35" t="n">
        <x:v>14</x:v>
      </x:c>
      <x:c r="N9" s="35" t="n">
        <x:v>13</x:v>
      </x:c>
      <x:c r="O9" s="35" t="n">
        <x:v>12</x:v>
      </x:c>
      <x:c r="P9" s="35" t="n">
        <x:v>9</x:v>
      </x:c>
      <x:c r="Q9" s="35" t="n">
        <x:v>10</x:v>
      </x:c>
      <x:c r="R9" s="35" t="n">
        <x:v>5</x:v>
      </x:c>
      <x:c r="S9" s="26" t="str">
        <x:v>/products/desk-cable-management/</x:v>
      </x:c>
      <x:c r="T9" s="26" t="str">
        <x:v>The retailer-stated UGREEN CB-54259 clips lost because no manufacturer model match was found, leaving unresolved product identity.</x:v>
      </x:c>
    </x:row>
    <x:row r="10" ht="92" customHeight="1">
      <x:c r="A10" s="27" t="str">
        <x:v>PP-C10</x:v>
      </x:c>
      <x:c r="B10" s="27" t="str">
        <x:v>ORIGINAL</x:v>
      </x:c>
      <x:c r="C10" s="27" t="str">
        <x:v>Logitech Signature M650 Wireless Mouse (small/medium, graphite)</x:v>
      </x:c>
      <x:c r="D10" s="27" t="str">
        <x:v>Input comfort</x:v>
      </x:c>
      <x:c r="E10" s="27" t="str">
        <x:v>M650 small/medium graphite / 910-006253</x:v>
      </x:c>
      <x:c r="F10" s="27" t="str">
        <x:v>A raised laptop setup needs a separate right-handed mouse sized for small-to-medium hands.</x:v>
      </x:c>
      <x:c r="G10" s="27" t="str">
        <x:v>Selected for the manufacturer-listed small-to-medium right-handed variant and its Bluetooth Low Energy or Logi Bolt connection options. It is the M650, not the separately researched Logitech Lift vertical model, and no medical or therapeutic benefit is claimed. The Amazon match is by model, size, color, and orientation because that page does not print the Noon regional part number.</x:v>
      </x:c>
      <x:c r="H10" s="30" t="n">
        <x:v>1749</x:v>
      </x:c>
      <x:c r="I10" s="33" t="n">
        <x:v>46217</x:v>
      </x:c>
      <x:c r="J10" s="27" t="str">
        <x:v>ergonomic mouse</x:v>
      </x:c>
      <x:c r="K10" s="36" t="n">
        <x:f>SUM(L10:R10)</x:f>
        <x:v>80</x:v>
      </x:c>
      <x:c r="L10" s="36" t="n">
        <x:v>17</x:v>
      </x:c>
      <x:c r="M10" s="36" t="n">
        <x:v>16</x:v>
      </x:c>
      <x:c r="N10" s="36" t="n">
        <x:v>15</x:v>
      </x:c>
      <x:c r="O10" s="36" t="n">
        <x:v>11</x:v>
      </x:c>
      <x:c r="P10" s="36" t="n">
        <x:v>8</x:v>
      </x:c>
      <x:c r="Q10" s="36" t="n">
        <x:v>9</x:v>
      </x:c>
      <x:c r="R10" s="36" t="n">
        <x:v>4</x:v>
      </x:c>
      <x:c r="S10" s="27" t="str">
        <x:v>/products/ergonomic-mouse/</x:v>
      </x:c>
      <x:c r="T10" s="27" t="str">
        <x:v>Logitech Lift 910-006473 lost because the captured Noon page co-mingled several part numbers, leaving the exact retailer variant unresolved.</x:v>
      </x:c>
    </x:row>
  </x:sheetData>
  <x:mergeCells>
    <x:mergeCell ref="A1:T1"/>
    <x:mergeCell ref="A2:T2"/>
  </x:mergeCells>
  <x:conditionalFormatting sqref="K6:K10">
    <x:cfRule type="dataBar" priority="1">
      <x:dataBar>
        <x:cfvo type="min"/>
        <x:cfvo type="max"/>
        <x:color rgb="FFC9FF4A"/>
      </x:dataBar>
      <x:extLst>
        <x:ext xmlns:x14="http://schemas.microsoft.com/office/spreadsheetml/2009/9/main" uri="{B025F937-C7B1-47D3-B67F-A62EFF666E3E}">
          <x14:id>{ED752712-34E2-97EC-30C1-25647B402030}</x14:id>
        </x:ext>
      </x:extLst>
    </x:cfRule>
  </x:conditionalFormatting>
  <x:pageMargins left="0.7" right="0.7" top="0.75" bottom="0.75" header="0.3" footer="0.3"/>
  <x:drawing xmlns:r="http://schemas.openxmlformats.org/officeDocument/2006/relationships" r:id="Rdaa1343b90fc4ab6"/>
  <x:tableParts count="1">
    <x:tablePart xmlns:r="http://schemas.openxmlformats.org/officeDocument/2006/relationships" r:id="R64ec73ea5d014ceb"/>
  </x:tableParts>
  <x:extLst>
    <x:ext xmlns:x14="http://schemas.microsoft.com/office/spreadsheetml/2009/9/main" xmlns:xm="http://schemas.microsoft.com/office/excel/2006/main" uri="{78C0D931-6437-407d-A8EE-F0AAD7539E65}">
      <x14:conditionalFormattings>
        <x14:conditionalFormatting>
          <x14:cfRule type="dataBar" priority="1" id="{ED752712-34E2-97EC-30C1-25647B402030}">
            <x14:dataBar gradient="0">
              <x14:cfvo type="min"/>
              <x14:cfvo type="max"/>
              <x14:fillColor rgb="FFC9FF4A"/>
            </x14:dataBar>
          </x14:cfRule>
          <xm:sqref>K6:K10</xm:sqref>
        </x14:conditionalFormatting>
      </x14:conditionalFormattings>
    </x:ext>
  </x:extLst>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31" hidden="0" customWidth="1"/>
    <x:col min="3" max="3" width="15" hidden="0" customWidth="1"/>
    <x:col min="4" max="4" width="15" hidden="0" customWidth="1"/>
    <x:col min="5" max="5" width="13" hidden="0" customWidth="1"/>
    <x:col min="6" max="6" width="55" hidden="0" customWidth="1"/>
    <x:col min="7" max="7" width="31" hidden="0" customWidth="1"/>
    <x:col min="8" max="8" width="45" hidden="0" customWidth="1"/>
    <x:col min="9" max="9" width="24" hidden="0" customWidth="1"/>
    <x:col min="10" max="10" width="54" hidden="0" customWidth="1"/>
    <x:col min="11" max="11" width="28" hidden="0" customWidth="1"/>
    <x:col min="12" max="12" width="54" hidden="0" customWidth="1"/>
  </x:cols>
  <x:sheetData>
    <x:row r="1" ht="34" customHeight="1">
      <x:c r="A1" s="3" t="str">
        <x:v>SETUP SAHLA / PROVIDER REGISTRY</x:v>
      </x:c>
      <x:c r="B1" s="3" t="str">
        <x:v>SETUP SAHLA / PROVIDER REGISTRY</x:v>
      </x:c>
      <x:c r="C1" s="3" t="str">
        <x:v>SETUP SAHLA / PROVIDER REGISTRY</x:v>
      </x:c>
      <x:c r="D1" s="3" t="str">
        <x:v>SETUP SAHLA / PROVIDER REGISTRY</x:v>
      </x:c>
      <x:c r="E1" s="3" t="str">
        <x:v>SETUP SAHLA / PROVIDER REGISTRY</x:v>
      </x:c>
      <x:c r="F1" s="3" t="str">
        <x:v>SETUP SAHLA / PROVIDER REGISTRY</x:v>
      </x:c>
      <x:c r="G1" s="3" t="str">
        <x:v>SETUP SAHLA / PROVIDER REGISTRY</x:v>
      </x:c>
      <x:c r="H1" s="3" t="str">
        <x:v>SETUP SAHLA / PROVIDER REGISTRY</x:v>
      </x:c>
      <x:c r="I1" s="3" t="str">
        <x:v>SETUP SAHLA / PROVIDER REGISTRY</x:v>
      </x:c>
      <x:c r="J1" s="3" t="str">
        <x:v>SETUP SAHLA / PROVIDER REGISTRY</x:v>
      </x:c>
      <x:c r="K1" s="3" t="str">
        <x:v>SETUP SAHLA / PROVIDER REGISTRY</x:v>
      </x:c>
      <x:c r="L1" s="3" t="str">
        <x:v>SETUP SAHLA / PROVIDER REGISTRY</x:v>
      </x:c>
    </x:row>
    <x:row r="2" ht="28" customHeight="1">
      <x:c r="A2" s="7" t="str">
        <x:v>All retailer links are DIRECT_LINK — AFFILIATE ID REQUIRED. Noon Egypt affiliate eligibility remains unconfirmed; no commission claim is active.</x:v>
      </x:c>
      <x:c r="B2" s="7" t="str">
        <x:v>All retailer links are DIRECT_LINK — AFFILIATE ID REQUIRED. Noon Egypt affiliate eligibility remains unconfirmed; no commission claim is active.</x:v>
      </x:c>
      <x:c r="C2" s="7" t="str">
        <x:v>All retailer links are DIRECT_LINK — AFFILIATE ID REQUIRED. Noon Egypt affiliate eligibility remains unconfirmed; no commission claim is active.</x:v>
      </x:c>
      <x:c r="D2" s="7" t="str">
        <x:v>All retailer links are DIRECT_LINK — AFFILIATE ID REQUIRED. Noon Egypt affiliate eligibility remains unconfirmed; no commission claim is active.</x:v>
      </x:c>
      <x:c r="E2" s="7" t="str">
        <x:v>All retailer links are DIRECT_LINK — AFFILIATE ID REQUIRED. Noon Egypt affiliate eligibility remains unconfirmed; no commission claim is active.</x:v>
      </x:c>
      <x:c r="F2" s="7" t="str">
        <x:v>All retailer links are DIRECT_LINK — AFFILIATE ID REQUIRED. Noon Egypt affiliate eligibility remains unconfirmed; no commission claim is active.</x:v>
      </x:c>
      <x:c r="G2" s="7" t="str">
        <x:v>All retailer links are DIRECT_LINK — AFFILIATE ID REQUIRED. Noon Egypt affiliate eligibility remains unconfirmed; no commission claim is active.</x:v>
      </x:c>
      <x:c r="H2" s="7" t="str">
        <x:v>All retailer links are DIRECT_LINK — AFFILIATE ID REQUIRED. Noon Egypt affiliate eligibility remains unconfirmed; no commission claim is active.</x:v>
      </x:c>
      <x:c r="I2" s="7" t="str">
        <x:v>All retailer links are DIRECT_LINK — AFFILIATE ID REQUIRED. Noon Egypt affiliate eligibility remains unconfirmed; no commission claim is active.</x:v>
      </x:c>
      <x:c r="J2" s="7" t="str">
        <x:v>All retailer links are DIRECT_LINK — AFFILIATE ID REQUIRED. Noon Egypt affiliate eligibility remains unconfirmed; no commission claim is active.</x:v>
      </x:c>
      <x:c r="K2" s="7" t="str">
        <x:v>All retailer links are DIRECT_LINK — AFFILIATE ID REQUIRED. Noon Egypt affiliate eligibility remains unconfirmed; no commission claim is active.</x:v>
      </x:c>
      <x:c r="L2" s="7" t="str">
        <x:v>All retailer links are DIRECT_LINK — AFFILIATE ID REQUIRED. Noon Egypt affiliate eligibility remains unconfirmed; no commission claim is active.</x:v>
      </x:c>
    </x:row>
    <x:row r="3" ht="9" customHeight="1"/>
    <x:row r="5" ht="34" customHeight="1">
      <x:c r="A5" s="15" t="str">
        <x:v>Product ID</x:v>
      </x:c>
      <x:c r="B5" s="16" t="str">
        <x:v>Product</x:v>
      </x:c>
      <x:c r="C5" s="16" t="str">
        <x:v>Retailer</x:v>
      </x:c>
      <x:c r="D5" s="16" t="str">
        <x:v>Price (EGP)</x:v>
      </x:c>
      <x:c r="E5" s="16" t="str">
        <x:v>Captured</x:v>
      </x:c>
      <x:c r="F5" s="16" t="str">
        <x:v>Seller / stock / fulfillment caution</x:v>
      </x:c>
      <x:c r="G5" s="16" t="str">
        <x:v>Affiliate state</x:v>
      </x:c>
      <x:c r="H5" s="16" t="str">
        <x:v>Noon Egypt eligibility</x:v>
      </x:c>
      <x:c r="I5" s="16" t="str">
        <x:v>Open exact listing</x:v>
      </x:c>
      <x:c r="J5" s="16" t="str">
        <x:v>Exact direct URL</x:v>
      </x:c>
      <x:c r="K5" s="16" t="str">
        <x:v>Manufacturer source</x:v>
      </x:c>
      <x:c r="L5" s="17" t="str">
        <x:v>Manufacturer exact URL</x:v>
      </x:c>
    </x:row>
    <x:row r="6" ht="68" customHeight="1">
      <x:c r="A6" s="25" t="str">
        <x:v>PP-C01</x:v>
      </x:c>
      <x:c r="B6" s="25" t="str">
        <x:v>Anker 332 USB-C Hub (5-in-1)</x:v>
      </x:c>
      <x:c r="C6" s="25" t="str">
        <x:v>Amazon Egypt</x:v>
      </x:c>
      <x:c r="D6" s="28" t="n">
        <x:v>1539</x:v>
      </x:c>
      <x:c r="E6" s="31" t="n">
        <x:v>46218</x:v>
      </x:c>
      <x:c r="F6" s="25" t="str">
        <x:v>Observed in stock at EGP 1,539; Amazon.eg was seller and shipper, with free returns and 15-day returnability. Recheck all offer details before promotion.</x:v>
      </x:c>
      <x:c r="G6" s="25" t="str">
        <x:v>DIRECT_LINK — AFFILIATE ID REQUIRED</x:v>
      </x:c>
      <x:c r="H6" s="25" t="str">
        <x:v>Not applicable</x:v>
      </x:c>
      <x:c r="I6" s="40" t="e">
        <x:f>HYPERLINK("https://www.amazon.eg/-/en/dp/B0BQLLB61B","OPEN EXACT LISTING")</x:f>
        <x:v>HYPERLINK is not implemented. linkLocation=https://www.amazon.eg/-/en/dp/B0BQLLB61B, friendlyName=OPEN EXACT LISTING</x:v>
      </x:c>
      <x:c r="J6" s="25" t="str">
        <x:v>https://www.amazon.eg/-/en/dp/B0BQLLB61B</x:v>
      </x:c>
      <x:c r="K6" s="40" t="e">
        <x:f>HYPERLINK("https://www.anker.com/products/a8355","OPEN MANUFACTURER SOURCE")</x:f>
        <x:v>HYPERLINK is not implemented. linkLocation=https://www.anker.com/products/a8355, friendlyName=OPEN MANUFACTURER SOURCE</x:v>
      </x:c>
      <x:c r="L6" s="25" t="str">
        <x:v>https://www.anker.com/products/a8355</x:v>
      </x:c>
    </x:row>
    <x:row r="7" ht="68" customHeight="1">
      <x:c r="A7" s="26" t="str">
        <x:v>PP-C01</x:v>
      </x:c>
      <x:c r="B7" s="26" t="str">
        <x:v>Anker 332 USB-C Hub (5-in-1)</x:v>
      </x:c>
      <x:c r="C7" s="26" t="str">
        <x:v>Noon Egypt</x:v>
      </x:c>
      <x:c r="D7" s="29" t="n">
        <x:v>1999</x:v>
      </x:c>
      <x:c r="E7" s="32" t="n">
        <x:v>46217</x:v>
      </x:c>
      <x:c r="F7" s="26" t="str">
        <x:v>Observed at EGP 1,999 with five units left, sold by Dokkan Tech and fulfilled with noon-express. Recheck all offer details before promotion.</x:v>
      </x:c>
      <x:c r="G7" s="26" t="str">
        <x:v>DIRECT_LINK — AFFILIATE ID REQUIRED</x:v>
      </x:c>
      <x:c r="H7" s="26" t="str">
        <x:v>Unverified — public terms do not establish Egypt eligibility</x:v>
      </x:c>
      <x:c r="I7" s="41" t="e">
        <x:f>HYPERLINK("https://www.noon.com/egypt-en/anker-332-usb-c-hub-5-in-1-usb-c-connector-with-4k-hdmi-100w-power-charger-black-a8355h11/N70086896V/p/","OPEN EXACT LISTING")</x:f>
        <x:v>HYPERLINK is not implemented. linkLocation=https://www.noon.com/egypt-en/anker-332-usb-c-hub-5-in-1-usb-c-connector-with-4k-hdmi-100w-power-charger-black-a8355h11/N70086896V/p/, friendlyName=OPEN EXACT LISTING</x:v>
      </x:c>
      <x:c r="J7" s="26" t="str">
        <x:v>https://www.noon.com/egypt-en/anker-332-usb-c-hub-5-in-1-usb-c-connector-with-4k-hdmi-100w-power-charger-black-a8355h11/N70086896V/p/</x:v>
      </x:c>
      <x:c r="K7" s="41" t="e">
        <x:f>HYPERLINK("https://www.anker.com/products/a8355","OPEN MANUFACTURER SOURCE")</x:f>
        <x:v>HYPERLINK is not implemented. linkLocation=https://www.anker.com/products/a8355, friendlyName=OPEN MANUFACTURER SOURCE</x:v>
      </x:c>
      <x:c r="L7" s="26" t="str">
        <x:v>https://www.anker.com/products/a8355</x:v>
      </x:c>
    </x:row>
    <x:row r="8" ht="68" customHeight="1">
      <x:c r="A8" s="26" t="str">
        <x:v>PP-C04</x:v>
      </x:c>
      <x:c r="B8" s="26" t="str">
        <x:v>UGREEN Foldable Laptop Stand 40289</x:v>
      </x:c>
      <x:c r="C8" s="26" t="str">
        <x:v>Amazon Egypt</x:v>
      </x:c>
      <x:c r="D8" s="29" t="n">
        <x:v>666</x:v>
      </x:c>
      <x:c r="E8" s="32" t="n">
        <x:v>46218</x:v>
      </x:c>
      <x:c r="F8" s="26" t="str">
        <x:v>Observed in stock at EGP 666; Amazon.eg was seller and shipper, with free returns. Recheck before promotion.</x:v>
      </x:c>
      <x:c r="G8" s="26" t="str">
        <x:v>DIRECT_LINK — AFFILIATE ID REQUIRED</x:v>
      </x:c>
      <x:c r="H8" s="26" t="str">
        <x:v>Not applicable</x:v>
      </x:c>
      <x:c r="I8" s="41" t="e">
        <x:f>HYPERLINK("https://www.amazon.eg/-/en/dp/B08TLVKBMJ","OPEN EXACT LISTING")</x:f>
        <x:v>HYPERLINK is not implemented. linkLocation=https://www.amazon.eg/-/en/dp/B08TLVKBMJ, friendlyName=OPEN EXACT LISTING</x:v>
      </x:c>
      <x:c r="J8" s="26" t="str">
        <x:v>https://www.amazon.eg/-/en/dp/B08TLVKBMJ</x:v>
      </x:c>
      <x:c r="K8" s="41" t="e">
        <x:f>HYPERLINK("https://www.ugreen.com/tr-tr/products/tr-40289","OPEN MANUFACTURER SOURCE")</x:f>
        <x:v>HYPERLINK is not implemented. linkLocation=https://www.ugreen.com/tr-tr/products/tr-40289, friendlyName=OPEN MANUFACTURER SOURCE</x:v>
      </x:c>
      <x:c r="L8" s="26" t="str">
        <x:v>https://www.ugreen.com/tr-tr/products/tr-40289</x:v>
      </x:c>
    </x:row>
    <x:row r="9" ht="68" customHeight="1">
      <x:c r="A9" s="26" t="str">
        <x:v>PP-C04</x:v>
      </x:c>
      <x:c r="B9" s="26" t="str">
        <x:v>UGREEN Foldable Laptop Stand 40289</x:v>
      </x:c>
      <x:c r="C9" s="26" t="str">
        <x:v>Noon Egypt</x:v>
      </x:c>
      <x:c r="D9" s="29" t="n">
        <x:v>945.6</x:v>
      </x:c>
      <x:c r="E9" s="32" t="n">
        <x:v>46217</x:v>
      </x:c>
      <x:c r="F9" s="26" t="str">
        <x:v>Observed at EGP 945.60 with add-to-cart availability, sold by wusool and fulfilled with noon-express. No numeric stock count was exposed; recheck before promotion.</x:v>
      </x:c>
      <x:c r="G9" s="26" t="str">
        <x:v>DIRECT_LINK — AFFILIATE ID REQUIRED</x:v>
      </x:c>
      <x:c r="H9" s="26" t="str">
        <x:v>Unverified — public terms do not establish Egypt eligibility</x:v>
      </x:c>
      <x:c r="I9" s="41" t="e">
        <x:f>HYPERLINK("https://www.noon.com/egypt-en/laptop-stand-aluminum-alloy-adjustable-eye-level-ergonomic-height-laptop-riser-holder-compatible-for-macbook-pro-2021-air-chromebook-and-more-storage-bag-included/N53340883A/p/","OPEN EXACT LISTING")</x:f>
        <x:v>HYPERLINK is not implemented. linkLocation=https://www.noon.com/egypt-en/laptop-stand-aluminum-alloy-adjustable-eye-level-ergonomic-height-laptop-riser-holder-compatible-for-macbook-pro-2021-air-chromebook-and-more-storage-bag-included/N53340883A/p/, friendlyName=OPEN EXACT LISTING</x:v>
      </x:c>
      <x:c r="J9" s="26" t="str">
        <x:v>https://www.noon.com/egypt-en/laptop-stand-aluminum-alloy-adjustable-eye-level-ergonomic-height-laptop-riser-holder-compatible-for-macbook-pro-2021-air-chromebook-and-more-storage-bag-included/N53340883A/p/</x:v>
      </x:c>
      <x:c r="K9" s="41" t="e">
        <x:f>HYPERLINK("https://www.ugreen.com/tr-tr/products/tr-40289","OPEN MANUFACTURER SOURCE")</x:f>
        <x:v>HYPERLINK is not implemented. linkLocation=https://www.ugreen.com/tr-tr/products/tr-40289, friendlyName=OPEN MANUFACTURER SOURCE</x:v>
      </x:c>
      <x:c r="L9" s="26" t="str">
        <x:v>https://www.ugreen.com/tr-tr/products/tr-40289</x:v>
      </x:c>
    </x:row>
    <x:row r="10" ht="68" customHeight="1">
      <x:c r="A10" s="26" t="str">
        <x:v>PP-C15</x:v>
      </x:c>
      <x:c r="B10" s="26" t="str">
        <x:v>Havit F2069 Laptop Cooling Pad</x:v>
      </x:c>
      <x:c r="C10" s="26" t="str">
        <x:v>Amazon Egypt</x:v>
      </x:c>
      <x:c r="D10" s="29" t="n">
        <x:v>1035</x:v>
      </x:c>
      <x:c r="E10" s="32" t="n">
        <x:v>46218</x:v>
      </x:c>
      <x:c r="F10" s="26" t="str">
        <x:v>Observed in stock at EGP 1,035; Amazon.eg was seller and shipper, with free returns. Recheck before promotion.</x:v>
      </x:c>
      <x:c r="G10" s="26" t="str">
        <x:v>DIRECT_LINK — AFFILIATE ID REQUIRED</x:v>
      </x:c>
      <x:c r="H10" s="26" t="str">
        <x:v>Not applicable</x:v>
      </x:c>
      <x:c r="I10" s="41" t="e">
        <x:f>HYPERLINK("https://www.amazon.eg/-/en/dp/B0CP198X1G","OPEN EXACT LISTING")</x:f>
        <x:v>HYPERLINK is not implemented. linkLocation=https://www.amazon.eg/-/en/dp/B0CP198X1G, friendlyName=OPEN EXACT LISTING</x:v>
      </x:c>
      <x:c r="J10" s="26" t="str">
        <x:v>https://www.amazon.eg/-/en/dp/B0CP198X1G</x:v>
      </x:c>
      <x:c r="K10" s="41" t="e">
        <x:f>HYPERLINK("https://www.prohavit.com/zh-hans-jp/products/hv-f2069-laptop-cooling-pad-for-up-to-17-inch-laptop","OPEN MANUFACTURER SOURCE")</x:f>
        <x:v>HYPERLINK is not implemented. linkLocation=https://www.prohavit.com/zh-hans-jp/products/hv-f2069-laptop-cooling-pad-for-up-to-17-inch-laptop, friendlyName=OPEN MANUFACTURER SOURCE</x:v>
      </x:c>
      <x:c r="L10" s="26" t="str">
        <x:v>https://www.prohavit.com/zh-hans-jp/products/hv-f2069-laptop-cooling-pad-for-up-to-17-inch-laptop</x:v>
      </x:c>
    </x:row>
    <x:row r="11" ht="68" customHeight="1">
      <x:c r="A11" s="26" t="str">
        <x:v>PP-C15</x:v>
      </x:c>
      <x:c r="B11" s="26" t="str">
        <x:v>Havit F2069 Laptop Cooling Pad</x:v>
      </x:c>
      <x:c r="C11" s="26" t="str">
        <x:v>Noon Egypt</x:v>
      </x:c>
      <x:c r="D11" s="29" t="n">
        <x:v>1040</x:v>
      </x:c>
      <x:c r="E11" s="32" t="n">
        <x:v>46218</x:v>
      </x:c>
      <x:c r="F11" s="26" t="str">
        <x:v>Observed at EGP 1,040 with noon-express fulfillment; the seller name was not retained and must be checked before promotion.</x:v>
      </x:c>
      <x:c r="G11" s="26" t="str">
        <x:v>DIRECT_LINK — AFFILIATE ID REQUIRED</x:v>
      </x:c>
      <x:c r="H11" s="26" t="str">
        <x:v>Unverified — public terms do not establish Egypt eligibility</x:v>
      </x:c>
      <x:c r="I11" s="41" t="e">
        <x:f>HYPERLINK("https://www.noon.com/egypt-en/f2069-rgb-light-10-clock-mode-cooling-pad-cool-for-laptop-low-noise-fan-cooler-with-cell-phone-holder/N70023962V/p/","OPEN EXACT LISTING")</x:f>
        <x:v>HYPERLINK is not implemented. linkLocation=https://www.noon.com/egypt-en/f2069-rgb-light-10-clock-mode-cooling-pad-cool-for-laptop-low-noise-fan-cooler-with-cell-phone-holder/N70023962V/p/, friendlyName=OPEN EXACT LISTING</x:v>
      </x:c>
      <x:c r="J11" s="26" t="str">
        <x:v>https://www.noon.com/egypt-en/f2069-rgb-light-10-clock-mode-cooling-pad-cool-for-laptop-low-noise-fan-cooler-with-cell-phone-holder/N70023962V/p/</x:v>
      </x:c>
      <x:c r="K11" s="41" t="e">
        <x:f>HYPERLINK("https://www.prohavit.com/zh-hans-jp/products/hv-f2069-laptop-cooling-pad-for-up-to-17-inch-laptop","OPEN MANUFACTURER SOURCE")</x:f>
        <x:v>HYPERLINK is not implemented. linkLocation=https://www.prohavit.com/zh-hans-jp/products/hv-f2069-laptop-cooling-pad-for-up-to-17-inch-laptop, friendlyName=OPEN MANUFACTURER SOURCE</x:v>
      </x:c>
      <x:c r="L11" s="26" t="str">
        <x:v>https://www.prohavit.com/zh-hans-jp/products/hv-f2069-laptop-cooling-pad-for-up-to-17-inch-laptop</x:v>
      </x:c>
    </x:row>
    <x:row r="12" ht="68" customHeight="1">
      <x:c r="A12" s="26" t="str">
        <x:v>PP-C09</x:v>
      </x:c>
      <x:c r="B12" s="26" t="str">
        <x:v>JOYROOM JR-ZS368 Magnetic Cable Organizer (6 pcs)</x:v>
      </x:c>
      <x:c r="C12" s="26" t="str">
        <x:v>Amazon Egypt</x:v>
      </x:c>
      <x:c r="D12" s="29" t="n">
        <x:v>279</x:v>
      </x:c>
      <x:c r="E12" s="32" t="n">
        <x:v>46218</x:v>
      </x:c>
      <x:c r="F12" s="26" t="str">
        <x:v>Observed at EGP 279 with one unit left, sold by Basics EG and showing free returns; shipping party was unclear. Recheck before promotion.</x:v>
      </x:c>
      <x:c r="G12" s="26" t="str">
        <x:v>DIRECT_LINK — AFFILIATE ID REQUIRED</x:v>
      </x:c>
      <x:c r="H12" s="26" t="str">
        <x:v>Not applicable</x:v>
      </x:c>
      <x:c r="I12" s="41" t="e">
        <x:f>HYPERLINK("https://www.amazon.eg/-/en/dp/B0DJH1W2N4","OPEN EXACT LISTING")</x:f>
        <x:v>HYPERLINK is not implemented. linkLocation=https://www.amazon.eg/-/en/dp/B0DJH1W2N4, friendlyName=OPEN EXACT LISTING</x:v>
      </x:c>
      <x:c r="J12" s="26" t="str">
        <x:v>https://www.amazon.eg/-/en/dp/B0DJH1W2N4</x:v>
      </x:c>
      <x:c r="K12" s="41" t="e">
        <x:f>HYPERLINK("https://www.joyroom.com/products/joyroom-jr-zs368-magnetic-cable-organizer-9pcs-b2c","OPEN MANUFACTURER SOURCE")</x:f>
        <x:v>HYPERLINK is not implemented. linkLocation=https://www.joyroom.com/products/joyroom-jr-zs368-magnetic-cable-organizer-9pcs-b2c, friendlyName=OPEN MANUFACTURER SOURCE</x:v>
      </x:c>
      <x:c r="L12" s="26" t="str">
        <x:v>https://www.joyroom.com/products/joyroom-jr-zs368-magnetic-cable-organizer-9pcs-b2c</x:v>
      </x:c>
    </x:row>
    <x:row r="13" ht="68" customHeight="1">
      <x:c r="A13" s="26" t="str">
        <x:v>PP-C09</x:v>
      </x:c>
      <x:c r="B13" s="26" t="str">
        <x:v>JOYROOM JR-ZS368 Magnetic Cable Organizer (6 pcs)</x:v>
      </x:c>
      <x:c r="C13" s="26" t="str">
        <x:v>Noon Egypt</x:v>
      </x:c>
      <x:c r="D13" s="29" t="n">
        <x:v>950.81</x:v>
      </x:c>
      <x:c r="E13" s="32" t="n">
        <x:v>46217</x:v>
      </x:c>
      <x:c r="F13" s="26" t="str">
        <x:v>Observed at EGP 950.81 with two units left, sold by attention store and fulfilled with noon-express. The large price spread needs a launch-day recheck.</x:v>
      </x:c>
      <x:c r="G13" s="26" t="str">
        <x:v>DIRECT_LINK — AFFILIATE ID REQUIRED</x:v>
      </x:c>
      <x:c r="H13" s="26" t="str">
        <x:v>Unverified — public terms do not establish Egypt eligibility</x:v>
      </x:c>
      <x:c r="I13" s="41" t="e">
        <x:f>HYPERLINK("https://www.noon.com/egypt-en/joyroom-cable-organiser-jr-zs368-magnetic-black-6-pcs/ZDB64AB2F8DE78C016649Z/p/?o=zdb64ab2f8de78c016649z-1","OPEN EXACT LISTING")</x:f>
        <x:v>HYPERLINK is not implemented. linkLocation=https://www.noon.com/egypt-en/joyroom-cable-organiser-jr-zs368-magnetic-black-6-pcs/ZDB64AB2F8DE78C016649Z/p/?o=zdb64ab2f8de78c016649z-1, friendlyName=OPEN EXACT LISTING</x:v>
      </x:c>
      <x:c r="J13" s="26" t="str">
        <x:v>https://www.noon.com/egypt-en/joyroom-cable-organiser-jr-zs368-magnetic-black-6-pcs/ZDB64AB2F8DE78C016649Z/p/?o=zdb64ab2f8de78c016649z-1</x:v>
      </x:c>
      <x:c r="K13" s="41" t="e">
        <x:f>HYPERLINK("https://www.joyroom.com/products/joyroom-jr-zs368-magnetic-cable-organizer-9pcs-b2c","OPEN MANUFACTURER SOURCE")</x:f>
        <x:v>HYPERLINK is not implemented. linkLocation=https://www.joyroom.com/products/joyroom-jr-zs368-magnetic-cable-organizer-9pcs-b2c, friendlyName=OPEN MANUFACTURER SOURCE</x:v>
      </x:c>
      <x:c r="L13" s="26" t="str">
        <x:v>https://www.joyroom.com/products/joyroom-jr-zs368-magnetic-cable-organizer-9pcs-b2c</x:v>
      </x:c>
    </x:row>
    <x:row r="14" ht="68" customHeight="1">
      <x:c r="A14" s="26" t="str">
        <x:v>PP-C10</x:v>
      </x:c>
      <x:c r="B14" s="26" t="str">
        <x:v>Logitech Signature M650 Wireless Mouse (small/medium, graphite)</x:v>
      </x:c>
      <x:c r="C14" s="26" t="str">
        <x:v>Amazon Egypt</x:v>
      </x:c>
      <x:c r="D14" s="29" t="n">
        <x:v>1799</x:v>
      </x:c>
      <x:c r="E14" s="32" t="n">
        <x:v>46218</x:v>
      </x:c>
      <x:c r="F14" s="26" t="str">
        <x:v>Observed at EGP 1,799 with four units left, sold by Dokkan Tech and showing free returns. The regional part number was not printed; confirm named variant at checkout.</x:v>
      </x:c>
      <x:c r="G14" s="26" t="str">
        <x:v>DIRECT_LINK — AFFILIATE ID REQUIRED</x:v>
      </x:c>
      <x:c r="H14" s="26" t="str">
        <x:v>Not applicable</x:v>
      </x:c>
      <x:c r="I14" s="41" t="e">
        <x:f>HYPERLINK("https://www.amazon.eg/-/en/dp/B09QWY7JYK","OPEN EXACT LISTING")</x:f>
        <x:v>HYPERLINK is not implemented. linkLocation=https://www.amazon.eg/-/en/dp/B09QWY7JYK, friendlyName=OPEN EXACT LISTING</x:v>
      </x:c>
      <x:c r="J14" s="26" t="str">
        <x:v>https://www.amazon.eg/-/en/dp/B09QWY7JYK</x:v>
      </x:c>
      <x:c r="K14" s="41" t="e">
        <x:f>HYPERLINK("https://www.logitech.com/en-us/products/mice/m650-signature-wireless-mouse.html","OPEN MANUFACTURER SOURCE")</x:f>
        <x:v>HYPERLINK is not implemented. linkLocation=https://www.logitech.com/en-us/products/mice/m650-signature-wireless-mouse.html, friendlyName=OPEN MANUFACTURER SOURCE</x:v>
      </x:c>
      <x:c r="L14" s="26" t="str">
        <x:v>https://www.logitech.com/en-us/products/mice/m650-signature-wireless-mouse.html</x:v>
      </x:c>
    </x:row>
    <x:row r="15" ht="68" customHeight="1">
      <x:c r="A15" s="27" t="str">
        <x:v>PP-C10</x:v>
      </x:c>
      <x:c r="B15" s="27" t="str">
        <x:v>Logitech Signature M650 Wireless Mouse (small/medium, graphite)</x:v>
      </x:c>
      <x:c r="C15" s="27" t="str">
        <x:v>Noon Egypt</x:v>
      </x:c>
      <x:c r="D15" s="30" t="n">
        <x:v>1749</x:v>
      </x:c>
      <x:c r="E15" s="33" t="n">
        <x:v>46217</x:v>
      </x:c>
      <x:c r="F15" s="27" t="str">
        <x:v>Observed at EGP 1,749 with add-to-cart availability, sold by Dokkan Tech and fulfilled with noon-express. Recheck before promotion.</x:v>
      </x:c>
      <x:c r="G15" s="27" t="str">
        <x:v>DIRECT_LINK — AFFILIATE ID REQUIRED</x:v>
      </x:c>
      <x:c r="H15" s="27" t="str">
        <x:v>Unverified — public terms do not establish Egypt eligibility</x:v>
      </x:c>
      <x:c r="I15" s="42" t="e">
        <x:f>HYPERLINK("https://www.noon.com/egypt-en/signature-m650-wireless-mouse-for-small-to-medium-sized-hands-silent-clicks-5-buttons-bluetooth-multi-device-compatibility-400-dpi-nominal-value-10m-range-black/N53285882A/p/","OPEN EXACT LISTING")</x:f>
        <x:v>HYPERLINK is not implemented. linkLocation=https://www.noon.com/egypt-en/signature-m650-wireless-mouse-for-small-to-medium-sized-hands-silent-clicks-5-buttons-bluetooth-multi-device-compatibility-400-dpi-nominal-value-10m-range-black/N53285882A/p/, friendlyName=OPEN EXACT LISTING</x:v>
      </x:c>
      <x:c r="J15" s="27" t="str">
        <x:v>https://www.noon.com/egypt-en/signature-m650-wireless-mouse-for-small-to-medium-sized-hands-silent-clicks-5-buttons-bluetooth-multi-device-compatibility-400-dpi-nominal-value-10m-range-black/N53285882A/p/</x:v>
      </x:c>
      <x:c r="K15" s="42" t="e">
        <x:f>HYPERLINK("https://www.logitech.com/en-us/products/mice/m650-signature-wireless-mouse.html","OPEN MANUFACTURER SOURCE")</x:f>
        <x:v>HYPERLINK is not implemented. linkLocation=https://www.logitech.com/en-us/products/mice/m650-signature-wireless-mouse.html, friendlyName=OPEN MANUFACTURER SOURCE</x:v>
      </x:c>
      <x:c r="L15" s="27" t="str">
        <x:v>https://www.logitech.com/en-us/products/mice/m650-signature-wireless-mouse.html</x:v>
      </x:c>
    </x:row>
  </x:sheetData>
  <x:mergeCells>
    <x:mergeCell ref="A1:L1"/>
    <x:mergeCell ref="A2:L2"/>
  </x:mergeCells>
  <x:conditionalFormatting sqref="G6:G15">
    <x:cfRule type="containsText" dxfId="0" priority="1" operator="containsText" text="DIRECT_LINK"/>
  </x:conditionalFormatting>
  <x:conditionalFormatting sqref="H6:H15">
    <x:cfRule type="containsText" dxfId="1" priority="2" operator="containsText" text="Unverified"/>
  </x:conditionalFormatting>
  <x:pageMargins left="0.7" right="0.7" top="0.75" bottom="0.75" header="0.3" footer="0.3"/>
  <x:tableParts count="1">
    <x:tablePart xmlns:r="http://schemas.openxmlformats.org/officeDocument/2006/relationships" r:id="Re66e98c12f734d1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9" hidden="0" customWidth="1"/>
    <x:col min="3" max="3" width="10" hidden="0" customWidth="1"/>
    <x:col min="4" max="4" width="22" hidden="0" customWidth="1"/>
    <x:col min="5" max="5" width="24" hidden="0" customWidth="1"/>
    <x:col min="6" max="6" width="30" hidden="0" customWidth="1"/>
    <x:col min="7" max="7" width="15" hidden="0" customWidth="1"/>
    <x:col min="8" max="8" width="13" hidden="0" customWidth="1"/>
    <x:col min="9" max="9" width="16" hidden="0" customWidth="1"/>
    <x:col min="10" max="10" width="26" hidden="0" customWidth="1"/>
    <x:col min="11" max="11" width="20" hidden="0" customWidth="1"/>
    <x:col min="12" max="12" width="38" hidden="0" customWidth="1"/>
    <x:col min="13" max="13" width="16" hidden="0" customWidth="1"/>
    <x:col min="14" max="14" width="46" hidden="0" customWidth="1"/>
  </x:cols>
  <x:sheetData>
    <x:row r="1" ht="34" customHeight="1">
      <x:c r="A1" s="3" t="str">
        <x:v>SETUP SAHLA / KEYWORD MAP</x:v>
      </x:c>
      <x:c r="B1" s="3" t="str">
        <x:v>SETUP SAHLA / KEYWORD MAP</x:v>
      </x:c>
      <x:c r="C1" s="3" t="str">
        <x:v>SETUP SAHLA / KEYWORD MAP</x:v>
      </x:c>
      <x:c r="D1" s="3" t="str">
        <x:v>SETUP SAHLA / KEYWORD MAP</x:v>
      </x:c>
      <x:c r="E1" s="3" t="str">
        <x:v>SETUP SAHLA / KEYWORD MAP</x:v>
      </x:c>
      <x:c r="F1" s="3" t="str">
        <x:v>SETUP SAHLA / KEYWORD MAP</x:v>
      </x:c>
      <x:c r="G1" s="3" t="str">
        <x:v>SETUP SAHLA / KEYWORD MAP</x:v>
      </x:c>
      <x:c r="H1" s="3" t="str">
        <x:v>SETUP SAHLA / KEYWORD MAP</x:v>
      </x:c>
      <x:c r="I1" s="3" t="str">
        <x:v>SETUP SAHLA / KEYWORD MAP</x:v>
      </x:c>
      <x:c r="J1" s="3" t="str">
        <x:v>SETUP SAHLA / KEYWORD MAP</x:v>
      </x:c>
      <x:c r="K1" s="3" t="str">
        <x:v>SETUP SAHLA / KEYWORD MAP</x:v>
      </x:c>
      <x:c r="L1" s="3" t="str">
        <x:v>SETUP SAHLA / KEYWORD MAP</x:v>
      </x:c>
      <x:c r="M1" s="3" t="str">
        <x:v>SETUP SAHLA / KEYWORD MAP</x:v>
      </x:c>
      <x:c r="N1" s="3" t="str">
        <x:v>SETUP SAHLA / KEYWORD MAP</x:v>
      </x:c>
    </x:row>
    <x:row r="2" ht="28" customHeight="1">
      <x:c r="A2" s="7" t="str">
        <x:v>Egypt-locale qualitative search-language evidence. Autocomplete presence is not search volume, difficulty, market share, or a trend-rate claim.</x:v>
      </x:c>
      <x:c r="B2" s="7" t="str">
        <x:v>Egypt-locale qualitative search-language evidence. Autocomplete presence is not search volume, difficulty, market share, or a trend-rate claim.</x:v>
      </x:c>
      <x:c r="C2" s="7" t="str">
        <x:v>Egypt-locale qualitative search-language evidence. Autocomplete presence is not search volume, difficulty, market share, or a trend-rate claim.</x:v>
      </x:c>
      <x:c r="D2" s="7" t="str">
        <x:v>Egypt-locale qualitative search-language evidence. Autocomplete presence is not search volume, difficulty, market share, or a trend-rate claim.</x:v>
      </x:c>
      <x:c r="E2" s="7" t="str">
        <x:v>Egypt-locale qualitative search-language evidence. Autocomplete presence is not search volume, difficulty, market share, or a trend-rate claim.</x:v>
      </x:c>
      <x:c r="F2" s="7" t="str">
        <x:v>Egypt-locale qualitative search-language evidence. Autocomplete presence is not search volume, difficulty, market share, or a trend-rate claim.</x:v>
      </x:c>
      <x:c r="G2" s="7" t="str">
        <x:v>Egypt-locale qualitative search-language evidence. Autocomplete presence is not search volume, difficulty, market share, or a trend-rate claim.</x:v>
      </x:c>
      <x:c r="H2" s="7" t="str">
        <x:v>Egypt-locale qualitative search-language evidence. Autocomplete presence is not search volume, difficulty, market share, or a trend-rate claim.</x:v>
      </x:c>
      <x:c r="I2" s="7" t="str">
        <x:v>Egypt-locale qualitative search-language evidence. Autocomplete presence is not search volume, difficulty, market share, or a trend-rate claim.</x:v>
      </x:c>
      <x:c r="J2" s="7" t="str">
        <x:v>Egypt-locale qualitative search-language evidence. Autocomplete presence is not search volume, difficulty, market share, or a trend-rate claim.</x:v>
      </x:c>
      <x:c r="K2" s="7" t="str">
        <x:v>Egypt-locale qualitative search-language evidence. Autocomplete presence is not search volume, difficulty, market share, or a trend-rate claim.</x:v>
      </x:c>
      <x:c r="L2" s="7" t="str">
        <x:v>Egypt-locale qualitative search-language evidence. Autocomplete presence is not search volume, difficulty, market share, or a trend-rate claim.</x:v>
      </x:c>
      <x:c r="M2" s="7" t="str">
        <x:v>Egypt-locale qualitative search-language evidence. Autocomplete presence is not search volume, difficulty, market share, or a trend-rate claim.</x:v>
      </x:c>
      <x:c r="N2" s="7" t="str">
        <x:v>Egypt-locale qualitative search-language evidence. Autocomplete presence is not search volume, difficulty, market share, or a trend-rate claim.</x:v>
      </x:c>
    </x:row>
    <x:row r="3" ht="9" customHeight="1"/>
    <x:row r="5" ht="34" customHeight="1">
      <x:c r="A5" s="15" t="str">
        <x:v>Keyword</x:v>
      </x:c>
      <x:c r="B5" s="16" t="str">
        <x:v>Locale</x:v>
      </x:c>
      <x:c r="C5" s="16" t="str">
        <x:v>Language</x:v>
      </x:c>
      <x:c r="D5" s="16" t="str">
        <x:v>Intent</x:v>
      </x:c>
      <x:c r="E5" s="16" t="str">
        <x:v>Problem cluster</x:v>
      </x:c>
      <x:c r="F5" s="16" t="str">
        <x:v>Metric</x:v>
      </x:c>
      <x:c r="G5" s="16" t="str">
        <x:v>Value</x:v>
      </x:c>
      <x:c r="H5" s="16" t="str">
        <x:v>Unit</x:v>
      </x:c>
      <x:c r="I5" s="16" t="str">
        <x:v>Trend direction</x:v>
      </x:c>
      <x:c r="J5" s="16" t="str">
        <x:v>Source</x:v>
      </x:c>
      <x:c r="K5" s="16" t="str">
        <x:v>Captured</x:v>
      </x:c>
      <x:c r="L5" s="16" t="str">
        <x:v>Assigned route</x:v>
      </x:c>
      <x:c r="M5" s="16" t="str">
        <x:v>Source URL</x:v>
      </x:c>
      <x:c r="N5" s="17" t="str">
        <x:v>Notes</x:v>
      </x:c>
    </x:row>
    <x:row r="6" ht="34" customHeight="1">
      <x:c r="A6" s="25" t="str">
        <x:v>usb c hub</x:v>
      </x:c>
      <x:c r="B6" s="25" t="str">
        <x:v>EG</x:v>
      </x:c>
      <x:c r="C6" s="25" t="str">
        <x:v>en</x:v>
      </x:c>
      <x:c r="D6" s="25" t="str">
        <x:v>commercial investigation</x:v>
      </x:c>
      <x:c r="E6" s="25" t="str">
        <x:v>ports/connectivity</x:v>
      </x:c>
      <x:c r="F6" s="25" t="str">
        <x:v>google_autocomplete_presence</x:v>
      </x:c>
      <x:c r="G6" s="25" t="str">
        <x:v>returned</x:v>
      </x:c>
      <x:c r="H6" s="25" t="str">
        <x:v>qualitative</x:v>
      </x:c>
      <x:c r="I6" s="25" t="str">
        <x:v>not_measured</x:v>
      </x:c>
      <x:c r="J6" s="25" t="str">
        <x:v>Google Autocomplete Egypt</x:v>
      </x:c>
      <x:c r="K6" s="43" t="n">
        <x:v>46217.994571759256</x:v>
      </x:c>
      <x:c r="L6" s="25" t="str">
        <x:v>/products/usb-c-hub/</x:v>
      </x:c>
      <x:c r="M6" s="46" t="str">
        <x:v>https://suggestqueries.google.com/complete/search?client=firefox&amp;hl=en&amp;gl=eg&amp;q=usb%20c%20hub</x:v>
      </x:c>
      <x:c r="N6" s="25" t="str">
        <x:v>PRIMARY; evidence SEO-KW-001; proxy is not search volume</x:v>
      </x:c>
    </x:row>
    <x:row r="7" ht="34" customHeight="1">
      <x:c r="A7" s="26" t="str">
        <x:v>usb c hub with hdmi</x:v>
      </x:c>
      <x:c r="B7" s="26" t="str">
        <x:v>EG</x:v>
      </x:c>
      <x:c r="C7" s="26" t="str">
        <x:v>en</x:v>
      </x:c>
      <x:c r="D7" s="26" t="str">
        <x:v>commercial investigation</x:v>
      </x:c>
      <x:c r="E7" s="26" t="str">
        <x:v>ports/connectivity</x:v>
      </x:c>
      <x:c r="F7" s="26" t="str">
        <x:v>google_autocomplete_presence</x:v>
      </x:c>
      <x:c r="G7" s="26" t="str">
        <x:v>returned</x:v>
      </x:c>
      <x:c r="H7" s="26" t="str">
        <x:v>qualitative</x:v>
      </x:c>
      <x:c r="I7" s="26" t="str">
        <x:v>not_measured</x:v>
      </x:c>
      <x:c r="J7" s="26" t="str">
        <x:v>Google Autocomplete Egypt</x:v>
      </x:c>
      <x:c r="K7" s="44" t="n">
        <x:v>46217.994571759256</x:v>
      </x:c>
      <x:c r="L7" s="26" t="str">
        <x:v>/products/usb-c-hub/</x:v>
      </x:c>
      <x:c r="M7" s="47" t="str">
        <x:v>https://suggestqueries.google.com/complete/search?client=firefox&amp;hl=en&amp;gl=eg&amp;q=usb%20c%20hub</x:v>
      </x:c>
      <x:c r="N7" s="26" t="str">
        <x:v>SUPPORT; evidence SEO-KW-002; product-feature intent</x:v>
      </x:c>
    </x:row>
    <x:row r="8" ht="34" customHeight="1">
      <x:c r="A8" s="26" t="str">
        <x:v>usb c hub with ethernet</x:v>
      </x:c>
      <x:c r="B8" s="26" t="str">
        <x:v>EG</x:v>
      </x:c>
      <x:c r="C8" s="26" t="str">
        <x:v>en</x:v>
      </x:c>
      <x:c r="D8" s="26" t="str">
        <x:v>commercial investigation</x:v>
      </x:c>
      <x:c r="E8" s="26" t="str">
        <x:v>ports/connectivity</x:v>
      </x:c>
      <x:c r="F8" s="26" t="str">
        <x:v>google_autocomplete_presence</x:v>
      </x:c>
      <x:c r="G8" s="26" t="str">
        <x:v>returned</x:v>
      </x:c>
      <x:c r="H8" s="26" t="str">
        <x:v>qualitative</x:v>
      </x:c>
      <x:c r="I8" s="26" t="str">
        <x:v>not_measured</x:v>
      </x:c>
      <x:c r="J8" s="26" t="str">
        <x:v>Google Autocomplete Egypt</x:v>
      </x:c>
      <x:c r="K8" s="44" t="n">
        <x:v>46217.994571759256</x:v>
      </x:c>
      <x:c r="L8" s="26" t="str">
        <x:v>/products/usb-c-hub/</x:v>
      </x:c>
      <x:c r="M8" s="47" t="str">
        <x:v>https://suggestqueries.google.com/complete/search?client=firefox&amp;hl=en&amp;gl=eg&amp;q=usb%20c%20hub</x:v>
      </x:c>
      <x:c r="N8" s="26" t="str">
        <x:v>SUPPORT; evidence SEO-KW-003; product-feature intent</x:v>
      </x:c>
    </x:row>
    <x:row r="9" ht="34" customHeight="1">
      <x:c r="A9" s="26" t="str">
        <x:v>usb c hub adapter</x:v>
      </x:c>
      <x:c r="B9" s="26" t="str">
        <x:v>EG</x:v>
      </x:c>
      <x:c r="C9" s="26" t="str">
        <x:v>en</x:v>
      </x:c>
      <x:c r="D9" s="26" t="str">
        <x:v>commercial investigation</x:v>
      </x:c>
      <x:c r="E9" s="26" t="str">
        <x:v>ports/connectivity</x:v>
      </x:c>
      <x:c r="F9" s="26" t="str">
        <x:v>google_autocomplete_presence</x:v>
      </x:c>
      <x:c r="G9" s="26" t="str">
        <x:v>returned</x:v>
      </x:c>
      <x:c r="H9" s="26" t="str">
        <x:v>qualitative</x:v>
      </x:c>
      <x:c r="I9" s="26" t="str">
        <x:v>not_measured</x:v>
      </x:c>
      <x:c r="J9" s="26" t="str">
        <x:v>Google Autocomplete Egypt</x:v>
      </x:c>
      <x:c r="K9" s="44" t="n">
        <x:v>46217.994571759256</x:v>
      </x:c>
      <x:c r="L9" s="26" t="str">
        <x:v>/products/usb-c-hub/</x:v>
      </x:c>
      <x:c r="M9" s="47" t="str">
        <x:v>https://suggestqueries.google.com/complete/search?client=firefox&amp;hl=en&amp;gl=eg&amp;q=usb%20c%20hub</x:v>
      </x:c>
      <x:c r="N9" s="26" t="str">
        <x:v>SUPPORT; evidence SEO-KW-004; synonym intent</x:v>
      </x:c>
    </x:row>
    <x:row r="10" ht="34" customHeight="1">
      <x:c r="A10" s="26" t="str">
        <x:v>موزع يو اس بي تايب سي</x:v>
      </x:c>
      <x:c r="B10" s="26" t="str">
        <x:v>EG</x:v>
      </x:c>
      <x:c r="C10" s="26" t="str">
        <x:v>ar</x:v>
      </x:c>
      <x:c r="D10" s="26" t="str">
        <x:v>commercial investigation</x:v>
      </x:c>
      <x:c r="E10" s="26" t="str">
        <x:v>ports/connectivity</x:v>
      </x:c>
      <x:c r="F10" s="26" t="str">
        <x:v>google_autocomplete_presence</x:v>
      </x:c>
      <x:c r="G10" s="26" t="str">
        <x:v>returned</x:v>
      </x:c>
      <x:c r="H10" s="26" t="str">
        <x:v>qualitative</x:v>
      </x:c>
      <x:c r="I10" s="26" t="str">
        <x:v>not_measured</x:v>
      </x:c>
      <x:c r="J10" s="26" t="str">
        <x:v>Google Autocomplete Egypt Arabic</x:v>
      </x:c>
      <x:c r="K10" s="44" t="n">
        <x:v>46217.994571759256</x:v>
      </x:c>
      <x:c r="L10" s="26" t="str">
        <x:v>/products/usb-c-hub/</x:v>
      </x:c>
      <x:c r="M10" s="47" t="str">
        <x:v>https://suggestqueries.google.com/complete/search?client=firefox&amp;hl=ar&amp;gl=eg&amp;q=%D9%85%D9%88%D8%B2%D8%B9%20%D9%8A%D9%88%20%D8%A7%D8%B3%20%D8%A8%D9%8A</x:v>
      </x:c>
      <x:c r="N10" s="26" t="str">
        <x:v>SUPPORT; evidence SEO-KW-005; Arabic term</x:v>
      </x:c>
    </x:row>
    <x:row r="11" ht="34" customHeight="1">
      <x:c r="A11" s="26" t="str">
        <x:v>هاب type c</x:v>
      </x:c>
      <x:c r="B11" s="26" t="str">
        <x:v>EG</x:v>
      </x:c>
      <x:c r="C11" s="26" t="str">
        <x:v>mixed</x:v>
      </x:c>
      <x:c r="D11" s="26" t="str">
        <x:v>commercial investigation</x:v>
      </x:c>
      <x:c r="E11" s="26" t="str">
        <x:v>ports/connectivity</x:v>
      </x:c>
      <x:c r="F11" s="26" t="str">
        <x:v>google_autocomplete_presence</x:v>
      </x:c>
      <x:c r="G11" s="26" t="str">
        <x:v>returned</x:v>
      </x:c>
      <x:c r="H11" s="26" t="str">
        <x:v>qualitative</x:v>
      </x:c>
      <x:c r="I11" s="26" t="str">
        <x:v>not_measured</x:v>
      </x:c>
      <x:c r="J11" s="26" t="str">
        <x:v>Google Autocomplete Egypt Arabic</x:v>
      </x:c>
      <x:c r="K11" s="44" t="n">
        <x:v>46217.994571759256</x:v>
      </x:c>
      <x:c r="L11" s="26" t="str">
        <x:v>/products/usb-c-hub/</x:v>
      </x:c>
      <x:c r="M11" s="47" t="str">
        <x:v>https://suggestqueries.google.com/complete/search?client=firefox&amp;hl=ar&amp;gl=eg&amp;q=%D9%87%D8%A7%D8%A8%20type%20c</x:v>
      </x:c>
      <x:c r="N11" s="26" t="str">
        <x:v>SUPPORT; evidence SEO-KW-006; mixed/transliterated loan phrase</x:v>
      </x:c>
    </x:row>
    <x:row r="12" ht="34" customHeight="1">
      <x:c r="A12" s="26" t="str">
        <x:v>laptop stand</x:v>
      </x:c>
      <x:c r="B12" s="26" t="str">
        <x:v>EG</x:v>
      </x:c>
      <x:c r="C12" s="26" t="str">
        <x:v>en</x:v>
      </x:c>
      <x:c r="D12" s="26" t="str">
        <x:v>commercial investigation</x:v>
      </x:c>
      <x:c r="E12" s="26" t="str">
        <x:v>posture</x:v>
      </x:c>
      <x:c r="F12" s="26" t="str">
        <x:v>google_autocomplete_presence</x:v>
      </x:c>
      <x:c r="G12" s="26" t="str">
        <x:v>returned</x:v>
      </x:c>
      <x:c r="H12" s="26" t="str">
        <x:v>qualitative</x:v>
      </x:c>
      <x:c r="I12" s="26" t="str">
        <x:v>not_measured</x:v>
      </x:c>
      <x:c r="J12" s="26" t="str">
        <x:v>Google Autocomplete Egypt</x:v>
      </x:c>
      <x:c r="K12" s="44" t="n">
        <x:v>46217.994571759256</x:v>
      </x:c>
      <x:c r="L12" s="26" t="str">
        <x:v>/products/laptop-stand/</x:v>
      </x:c>
      <x:c r="M12" s="47" t="str">
        <x:v>https://suggestqueries.google.com/complete/search?client=firefox&amp;hl=en&amp;gl=eg&amp;q=laptop%20stand</x:v>
      </x:c>
      <x:c r="N12" s="26" t="str">
        <x:v>PRIMARY; evidence SEO-KW-007; proxy is not search volume</x:v>
      </x:c>
    </x:row>
    <x:row r="13" ht="34" customHeight="1">
      <x:c r="A13" s="26" t="str">
        <x:v>laptop stand egypt</x:v>
      </x:c>
      <x:c r="B13" s="26" t="str">
        <x:v>EG</x:v>
      </x:c>
      <x:c r="C13" s="26" t="str">
        <x:v>en</x:v>
      </x:c>
      <x:c r="D13" s="26" t="str">
        <x:v>transactional</x:v>
      </x:c>
      <x:c r="E13" s="26" t="str">
        <x:v>posture</x:v>
      </x:c>
      <x:c r="F13" s="26" t="str">
        <x:v>google_autocomplete_presence</x:v>
      </x:c>
      <x:c r="G13" s="26" t="str">
        <x:v>returned</x:v>
      </x:c>
      <x:c r="H13" s="26" t="str">
        <x:v>qualitative</x:v>
      </x:c>
      <x:c r="I13" s="26" t="str">
        <x:v>not_measured</x:v>
      </x:c>
      <x:c r="J13" s="26" t="str">
        <x:v>Google Autocomplete Egypt</x:v>
      </x:c>
      <x:c r="K13" s="44" t="n">
        <x:v>46217.994571759256</x:v>
      </x:c>
      <x:c r="L13" s="26" t="str">
        <x:v>/products/laptop-stand/</x:v>
      </x:c>
      <x:c r="M13" s="47" t="str">
        <x:v>https://suggestqueries.google.com/complete/search?client=firefox&amp;hl=en&amp;gl=eg&amp;q=laptop%20stand</x:v>
      </x:c>
      <x:c r="N13" s="26" t="str">
        <x:v>SUPPORT; evidence SEO-KW-008; local modifier</x:v>
      </x:c>
    </x:row>
    <x:row r="14" ht="34" customHeight="1">
      <x:c r="A14" s="26" t="str">
        <x:v>laptop stand for desk</x:v>
      </x:c>
      <x:c r="B14" s="26" t="str">
        <x:v>EG</x:v>
      </x:c>
      <x:c r="C14" s="26" t="str">
        <x:v>en</x:v>
      </x:c>
      <x:c r="D14" s="26" t="str">
        <x:v>commercial investigation</x:v>
      </x:c>
      <x:c r="E14" s="26" t="str">
        <x:v>posture</x:v>
      </x:c>
      <x:c r="F14" s="26" t="str">
        <x:v>google_autocomplete_presence</x:v>
      </x:c>
      <x:c r="G14" s="26" t="str">
        <x:v>returned</x:v>
      </x:c>
      <x:c r="H14" s="26" t="str">
        <x:v>qualitative</x:v>
      </x:c>
      <x:c r="I14" s="26" t="str">
        <x:v>not_measured</x:v>
      </x:c>
      <x:c r="J14" s="26" t="str">
        <x:v>Google Autocomplete Egypt</x:v>
      </x:c>
      <x:c r="K14" s="44" t="n">
        <x:v>46217.994571759256</x:v>
      </x:c>
      <x:c r="L14" s="26" t="str">
        <x:v>/products/laptop-stand/</x:v>
      </x:c>
      <x:c r="M14" s="47" t="str">
        <x:v>https://suggestqueries.google.com/complete/search?client=firefox&amp;hl=en&amp;gl=eg&amp;q=laptop%20stand</x:v>
      </x:c>
      <x:c r="N14" s="26" t="str">
        <x:v>SUPPORT; evidence SEO-KW-009; desk-use modifier</x:v>
      </x:c>
    </x:row>
    <x:row r="15" ht="34" customHeight="1">
      <x:c r="A15" s="26" t="str">
        <x:v>حامل لابتوب</x:v>
      </x:c>
      <x:c r="B15" s="26" t="str">
        <x:v>EG</x:v>
      </x:c>
      <x:c r="C15" s="26" t="str">
        <x:v>ar</x:v>
      </x:c>
      <x:c r="D15" s="26" t="str">
        <x:v>commercial investigation</x:v>
      </x:c>
      <x:c r="E15" s="26" t="str">
        <x:v>posture</x:v>
      </x:c>
      <x:c r="F15" s="26" t="str">
        <x:v>google_autocomplete_presence</x:v>
      </x:c>
      <x:c r="G15" s="26" t="str">
        <x:v>returned</x:v>
      </x:c>
      <x:c r="H15" s="26" t="str">
        <x:v>qualitative</x:v>
      </x:c>
      <x:c r="I15" s="26" t="str">
        <x:v>not_measured</x:v>
      </x:c>
      <x:c r="J15" s="26" t="str">
        <x:v>Google Autocomplete Egypt Arabic</x:v>
      </x:c>
      <x:c r="K15" s="44" t="n">
        <x:v>46217.994571759256</x:v>
      </x:c>
      <x:c r="L15" s="26" t="str">
        <x:v>/products/laptop-stand/</x:v>
      </x:c>
      <x:c r="M15" s="47" t="str">
        <x:v>https://suggestqueries.google.com/complete/search?client=firefox&amp;hl=ar&amp;gl=eg&amp;q=%D8%AD%D8%A7%D9%85%D9%84%20%D9%84%D8%A7%D8%A8%D8%AA%D9%88%D8%A8</x:v>
      </x:c>
      <x:c r="N15" s="26" t="str">
        <x:v>SUPPORT; evidence SEO-KW-010; Arabic term</x:v>
      </x:c>
    </x:row>
    <x:row r="16" ht="34" customHeight="1">
      <x:c r="A16" s="26" t="str">
        <x:v>حامل لابتوب قابل للطي</x:v>
      </x:c>
      <x:c r="B16" s="26" t="str">
        <x:v>EG</x:v>
      </x:c>
      <x:c r="C16" s="26" t="str">
        <x:v>ar</x:v>
      </x:c>
      <x:c r="D16" s="26" t="str">
        <x:v>commercial investigation</x:v>
      </x:c>
      <x:c r="E16" s="26" t="str">
        <x:v>posture</x:v>
      </x:c>
      <x:c r="F16" s="26" t="str">
        <x:v>google_autocomplete_presence</x:v>
      </x:c>
      <x:c r="G16" s="26" t="str">
        <x:v>returned</x:v>
      </x:c>
      <x:c r="H16" s="26" t="str">
        <x:v>qualitative</x:v>
      </x:c>
      <x:c r="I16" s="26" t="str">
        <x:v>not_measured</x:v>
      </x:c>
      <x:c r="J16" s="26" t="str">
        <x:v>Google Autocomplete Egypt Arabic</x:v>
      </x:c>
      <x:c r="K16" s="44" t="n">
        <x:v>46217.994571759256</x:v>
      </x:c>
      <x:c r="L16" s="26" t="str">
        <x:v>/products/laptop-stand/</x:v>
      </x:c>
      <x:c r="M16" s="47" t="str">
        <x:v>https://suggestqueries.google.com/complete/search?client=firefox&amp;hl=ar&amp;gl=eg&amp;q=%D8%AD%D8%A7%D9%85%D9%84%20%D9%84%D8%A7%D8%A8%D8%AA%D9%88%D8%A8</x:v>
      </x:c>
      <x:c r="N16" s="26" t="str">
        <x:v>SUPPORT; evidence SEO-KW-011; foldable feature</x:v>
      </x:c>
    </x:row>
    <x:row r="17" ht="34" customHeight="1">
      <x:c r="A17" s="26" t="str">
        <x:v>ستاند لابتوب</x:v>
      </x:c>
      <x:c r="B17" s="26" t="str">
        <x:v>EG</x:v>
      </x:c>
      <x:c r="C17" s="26" t="str">
        <x:v>ar</x:v>
      </x:c>
      <x:c r="D17" s="26" t="str">
        <x:v>commercial investigation</x:v>
      </x:c>
      <x:c r="E17" s="26" t="str">
        <x:v>posture</x:v>
      </x:c>
      <x:c r="F17" s="26" t="str">
        <x:v>google_autocomplete_presence</x:v>
      </x:c>
      <x:c r="G17" s="26" t="str">
        <x:v>returned</x:v>
      </x:c>
      <x:c r="H17" s="26" t="str">
        <x:v>qualitative</x:v>
      </x:c>
      <x:c r="I17" s="26" t="str">
        <x:v>not_measured</x:v>
      </x:c>
      <x:c r="J17" s="26" t="str">
        <x:v>Google Autocomplete Egypt Arabic</x:v>
      </x:c>
      <x:c r="K17" s="44" t="n">
        <x:v>46217.994571759256</x:v>
      </x:c>
      <x:c r="L17" s="26" t="str">
        <x:v>/products/laptop-stand/</x:v>
      </x:c>
      <x:c r="M17" s="47" t="str">
        <x:v>https://suggestqueries.google.com/complete/search?client=firefox&amp;hl=ar&amp;gl=eg&amp;q=%D8%B3%D8%AA%D8%A7%D9%86%D8%AF%20%D9%84%D8%A7%D8%A8%D8%AA%D9%88%D8%A8</x:v>
      </x:c>
      <x:c r="N17" s="26" t="str">
        <x:v>SUPPORT; evidence SEO-KW-012; transliterated loan phrase</x:v>
      </x:c>
    </x:row>
    <x:row r="18" ht="34" customHeight="1">
      <x:c r="A18" s="26" t="str">
        <x:v>laptop cooling pad</x:v>
      </x:c>
      <x:c r="B18" s="26" t="str">
        <x:v>EG</x:v>
      </x:c>
      <x:c r="C18" s="26" t="str">
        <x:v>en</x:v>
      </x:c>
      <x:c r="D18" s="26" t="str">
        <x:v>commercial investigation</x:v>
      </x:c>
      <x:c r="E18" s="26" t="str">
        <x:v>thermal management</x:v>
      </x:c>
      <x:c r="F18" s="26" t="str">
        <x:v>google_autocomplete_presence</x:v>
      </x:c>
      <x:c r="G18" s="26" t="str">
        <x:v>returned</x:v>
      </x:c>
      <x:c r="H18" s="26" t="str">
        <x:v>qualitative</x:v>
      </x:c>
      <x:c r="I18" s="26" t="str">
        <x:v>not_measured</x:v>
      </x:c>
      <x:c r="J18" s="26" t="str">
        <x:v>Google Autocomplete Egypt</x:v>
      </x:c>
      <x:c r="K18" s="44" t="n">
        <x:v>46217.994571759256</x:v>
      </x:c>
      <x:c r="L18" s="26" t="str">
        <x:v>/products/laptop-cooling-pad/</x:v>
      </x:c>
      <x:c r="M18" s="47" t="str">
        <x:v>https://suggestqueries.google.com/complete/search?client=firefox&amp;hl=en&amp;gl=eg&amp;q=laptop%20cooling%20pad</x:v>
      </x:c>
      <x:c r="N18" s="26" t="str">
        <x:v>PRIMARY; evidence SEO-KW-013; proxy is not search volume</x:v>
      </x:c>
    </x:row>
    <x:row r="19" ht="34" customHeight="1">
      <x:c r="A19" s="26" t="str">
        <x:v>laptop cooling pad egypt</x:v>
      </x:c>
      <x:c r="B19" s="26" t="str">
        <x:v>EG</x:v>
      </x:c>
      <x:c r="C19" s="26" t="str">
        <x:v>en</x:v>
      </x:c>
      <x:c r="D19" s="26" t="str">
        <x:v>transactional</x:v>
      </x:c>
      <x:c r="E19" s="26" t="str">
        <x:v>thermal management</x:v>
      </x:c>
      <x:c r="F19" s="26" t="str">
        <x:v>google_autocomplete_presence</x:v>
      </x:c>
      <x:c r="G19" s="26" t="str">
        <x:v>returned</x:v>
      </x:c>
      <x:c r="H19" s="26" t="str">
        <x:v>qualitative</x:v>
      </x:c>
      <x:c r="I19" s="26" t="str">
        <x:v>not_measured</x:v>
      </x:c>
      <x:c r="J19" s="26" t="str">
        <x:v>Google Autocomplete Egypt</x:v>
      </x:c>
      <x:c r="K19" s="44" t="n">
        <x:v>46217.994571759256</x:v>
      </x:c>
      <x:c r="L19" s="26" t="str">
        <x:v>/products/laptop-cooling-pad/</x:v>
      </x:c>
      <x:c r="M19" s="47" t="str">
        <x:v>https://suggestqueries.google.com/complete/search?client=firefox&amp;hl=en&amp;gl=eg&amp;q=laptop%20cooling%20pad</x:v>
      </x:c>
      <x:c r="N19" s="26" t="str">
        <x:v>SUPPORT; evidence SEO-KW-014; local modifier</x:v>
      </x:c>
    </x:row>
    <x:row r="20" ht="34" customHeight="1">
      <x:c r="A20" s="26" t="str">
        <x:v>laptop cooling pad for gaming</x:v>
      </x:c>
      <x:c r="B20" s="26" t="str">
        <x:v>EG</x:v>
      </x:c>
      <x:c r="C20" s="26" t="str">
        <x:v>en</x:v>
      </x:c>
      <x:c r="D20" s="26" t="str">
        <x:v>commercial investigation</x:v>
      </x:c>
      <x:c r="E20" s="26" t="str">
        <x:v>thermal management</x:v>
      </x:c>
      <x:c r="F20" s="26" t="str">
        <x:v>google_autocomplete_presence</x:v>
      </x:c>
      <x:c r="G20" s="26" t="str">
        <x:v>returned</x:v>
      </x:c>
      <x:c r="H20" s="26" t="str">
        <x:v>qualitative</x:v>
      </x:c>
      <x:c r="I20" s="26" t="str">
        <x:v>not_measured</x:v>
      </x:c>
      <x:c r="J20" s="26" t="str">
        <x:v>Google Autocomplete Egypt</x:v>
      </x:c>
      <x:c r="K20" s="44" t="n">
        <x:v>46217.994571759256</x:v>
      </x:c>
      <x:c r="L20" s="26" t="str">
        <x:v>/products/laptop-cooling-pad/</x:v>
      </x:c>
      <x:c r="M20" s="47" t="str">
        <x:v>https://suggestqueries.google.com/complete/search?client=firefox&amp;hl=en&amp;gl=eg&amp;q=laptop%20cooling%20pad</x:v>
      </x:c>
      <x:c r="N20" s="26" t="str">
        <x:v>SUPPORT; evidence SEO-KW-015; audience modifier</x:v>
      </x:c>
    </x:row>
    <x:row r="21" ht="34" customHeight="1">
      <x:c r="A21" s="26" t="str">
        <x:v>مبرد لابتوب</x:v>
      </x:c>
      <x:c r="B21" s="26" t="str">
        <x:v>EG</x:v>
      </x:c>
      <x:c r="C21" s="26" t="str">
        <x:v>ar</x:v>
      </x:c>
      <x:c r="D21" s="26" t="str">
        <x:v>commercial investigation</x:v>
      </x:c>
      <x:c r="E21" s="26" t="str">
        <x:v>thermal management</x:v>
      </x:c>
      <x:c r="F21" s="26" t="str">
        <x:v>google_autocomplete_presence</x:v>
      </x:c>
      <x:c r="G21" s="26" t="str">
        <x:v>returned</x:v>
      </x:c>
      <x:c r="H21" s="26" t="str">
        <x:v>qualitative</x:v>
      </x:c>
      <x:c r="I21" s="26" t="str">
        <x:v>not_measured</x:v>
      </x:c>
      <x:c r="J21" s="26" t="str">
        <x:v>Google Autocomplete Egypt Arabic</x:v>
      </x:c>
      <x:c r="K21" s="44" t="n">
        <x:v>46217.994571759256</x:v>
      </x:c>
      <x:c r="L21" s="26" t="str">
        <x:v>/products/laptop-cooling-pad/</x:v>
      </x:c>
      <x:c r="M21" s="47" t="str">
        <x:v>https://suggestqueries.google.com/complete/search?client=firefox&amp;hl=ar&amp;gl=eg&amp;q=%D9%85%D8%A8%D8%B1%D8%AF%20%D9%84%D8%A7%D8%A8%D8%AA%D9%88%D8%A8</x:v>
      </x:c>
      <x:c r="N21" s="26" t="str">
        <x:v>SUPPORT; evidence SEO-KW-016; Arabic product term</x:v>
      </x:c>
    </x:row>
    <x:row r="22" ht="34" customHeight="1">
      <x:c r="A22" s="26" t="str">
        <x:v>قاعدة تبريد لابتوب</x:v>
      </x:c>
      <x:c r="B22" s="26" t="str">
        <x:v>EG</x:v>
      </x:c>
      <x:c r="C22" s="26" t="str">
        <x:v>ar</x:v>
      </x:c>
      <x:c r="D22" s="26" t="str">
        <x:v>commercial investigation</x:v>
      </x:c>
      <x:c r="E22" s="26" t="str">
        <x:v>thermal management</x:v>
      </x:c>
      <x:c r="F22" s="26" t="str">
        <x:v>google_autocomplete_presence</x:v>
      </x:c>
      <x:c r="G22" s="26" t="str">
        <x:v>returned</x:v>
      </x:c>
      <x:c r="H22" s="26" t="str">
        <x:v>qualitative</x:v>
      </x:c>
      <x:c r="I22" s="26" t="str">
        <x:v>not_measured</x:v>
      </x:c>
      <x:c r="J22" s="26" t="str">
        <x:v>Google Autocomplete Egypt Arabic</x:v>
      </x:c>
      <x:c r="K22" s="44" t="n">
        <x:v>46217.994571759256</x:v>
      </x:c>
      <x:c r="L22" s="26" t="str">
        <x:v>/products/laptop-cooling-pad/</x:v>
      </x:c>
      <x:c r="M22" s="47" t="str">
        <x:v>https://suggestqueries.google.com/complete/search?client=firefox&amp;hl=ar&amp;gl=eg&amp;q=%D9%82%D8%A7%D8%B9%D8%AF%D8%A9%20%D8%AA%D8%A8%D8%B1%D9%8A%D8%AF%20%D9%84%D8%A7%D8%A8%D8%AA%D9%88%D8%A8</x:v>
      </x:c>
      <x:c r="N22" s="26" t="str">
        <x:v>SUPPORT; evidence SEO-KW-017; Arabic product term</x:v>
      </x:c>
    </x:row>
    <x:row r="23" ht="34" customHeight="1">
      <x:c r="A23" s="26" t="str">
        <x:v>كولينج باد لابتوب</x:v>
      </x:c>
      <x:c r="B23" s="26" t="str">
        <x:v>EG</x:v>
      </x:c>
      <x:c r="C23" s="26" t="str">
        <x:v>ar</x:v>
      </x:c>
      <x:c r="D23" s="26" t="str">
        <x:v>commercial investigation</x:v>
      </x:c>
      <x:c r="E23" s="26" t="str">
        <x:v>thermal management</x:v>
      </x:c>
      <x:c r="F23" s="26" t="str">
        <x:v>google_autocomplete_expansion</x:v>
      </x:c>
      <x:c r="G23" s="26" t="str">
        <x:v>not_returned</x:v>
      </x:c>
      <x:c r="H23" s="26" t="str">
        <x:v>qualitative</x:v>
      </x:c>
      <x:c r="I23" s="26" t="str">
        <x:v>not_measured</x:v>
      </x:c>
      <x:c r="J23" s="26" t="str">
        <x:v>Google Autocomplete Egypt Arabic</x:v>
      </x:c>
      <x:c r="K23" s="44" t="n">
        <x:v>46217.994571759256</x:v>
      </x:c>
      <x:c r="L23" s="26" t="str">
        <x:v>/products/laptop-cooling-pad/</x:v>
      </x:c>
      <x:c r="M23" s="47" t="str">
        <x:v>https://suggestqueries.google.com/complete/search?client=firefox&amp;hl=ar&amp;gl=eg&amp;q=%D9%83%D9%88%D9%84%D9%8A%D9%86%D8%AC%20%D8%A8%D8%A7%D8%AF%20%D9%84%D8%A7%D8%A8%D8%AA%D9%88%D8%A8</x:v>
      </x:c>
      <x:c r="N23" s="26" t="str">
        <x:v>SUPPORT; evidence SEO-KW-018; transliterated candidate retained as weak evidence</x:v>
      </x:c>
    </x:row>
    <x:row r="24" ht="34" customHeight="1">
      <x:c r="A24" s="26" t="str">
        <x:v>cable management desk</x:v>
      </x:c>
      <x:c r="B24" s="26" t="str">
        <x:v>EG</x:v>
      </x:c>
      <x:c r="C24" s="26" t="str">
        <x:v>en</x:v>
      </x:c>
      <x:c r="D24" s="26" t="str">
        <x:v>commercial investigation</x:v>
      </x:c>
      <x:c r="E24" s="26" t="str">
        <x:v>cable control</x:v>
      </x:c>
      <x:c r="F24" s="26" t="str">
        <x:v>google_autocomplete_presence</x:v>
      </x:c>
      <x:c r="G24" s="26" t="str">
        <x:v>returned</x:v>
      </x:c>
      <x:c r="H24" s="26" t="str">
        <x:v>qualitative</x:v>
      </x:c>
      <x:c r="I24" s="26" t="str">
        <x:v>not_measured</x:v>
      </x:c>
      <x:c r="J24" s="26" t="str">
        <x:v>Google Autocomplete Egypt</x:v>
      </x:c>
      <x:c r="K24" s="44" t="n">
        <x:v>46217.994571759256</x:v>
      </x:c>
      <x:c r="L24" s="26" t="str">
        <x:v>/products/desk-cable-management/</x:v>
      </x:c>
      <x:c r="M24" s="47" t="str">
        <x:v>https://suggestqueries.google.com/complete/search?client=firefox&amp;hl=en&amp;gl=eg&amp;q=cable%20management%20desk</x:v>
      </x:c>
      <x:c r="N24" s="26" t="str">
        <x:v>PRIMARY; evidence SEO-KW-019; proxy is not search volume</x:v>
      </x:c>
    </x:row>
    <x:row r="25" ht="34" customHeight="1">
      <x:c r="A25" s="26" t="str">
        <x:v>cable management desk tray</x:v>
      </x:c>
      <x:c r="B25" s="26" t="str">
        <x:v>EG</x:v>
      </x:c>
      <x:c r="C25" s="26" t="str">
        <x:v>en</x:v>
      </x:c>
      <x:c r="D25" s="26" t="str">
        <x:v>commercial investigation</x:v>
      </x:c>
      <x:c r="E25" s="26" t="str">
        <x:v>cable control</x:v>
      </x:c>
      <x:c r="F25" s="26" t="str">
        <x:v>google_autocomplete_presence</x:v>
      </x:c>
      <x:c r="G25" s="26" t="str">
        <x:v>returned</x:v>
      </x:c>
      <x:c r="H25" s="26" t="str">
        <x:v>qualitative</x:v>
      </x:c>
      <x:c r="I25" s="26" t="str">
        <x:v>not_measured</x:v>
      </x:c>
      <x:c r="J25" s="26" t="str">
        <x:v>Google Autocomplete Egypt</x:v>
      </x:c>
      <x:c r="K25" s="44" t="n">
        <x:v>46217.994571759256</x:v>
      </x:c>
      <x:c r="L25" s="26" t="str">
        <x:v>/products/desk-cable-management/</x:v>
      </x:c>
      <x:c r="M25" s="47" t="str">
        <x:v>https://suggestqueries.google.com/complete/search?client=firefox&amp;hl=en&amp;gl=eg&amp;q=cable%20management%20desk</x:v>
      </x:c>
      <x:c r="N25" s="26" t="str">
        <x:v>SUPPORT; evidence SEO-KW-020; tray feature</x:v>
      </x:c>
    </x:row>
    <x:row r="26" ht="34" customHeight="1">
      <x:c r="A26" s="26" t="str">
        <x:v>cable management desk box</x:v>
      </x:c>
      <x:c r="B26" s="26" t="str">
        <x:v>EG</x:v>
      </x:c>
      <x:c r="C26" s="26" t="str">
        <x:v>en</x:v>
      </x:c>
      <x:c r="D26" s="26" t="str">
        <x:v>commercial investigation</x:v>
      </x:c>
      <x:c r="E26" s="26" t="str">
        <x:v>cable control</x:v>
      </x:c>
      <x:c r="F26" s="26" t="str">
        <x:v>google_autocomplete_presence</x:v>
      </x:c>
      <x:c r="G26" s="26" t="str">
        <x:v>returned</x:v>
      </x:c>
      <x:c r="H26" s="26" t="str">
        <x:v>qualitative</x:v>
      </x:c>
      <x:c r="I26" s="26" t="str">
        <x:v>not_measured</x:v>
      </x:c>
      <x:c r="J26" s="26" t="str">
        <x:v>Google Autocomplete Egypt</x:v>
      </x:c>
      <x:c r="K26" s="44" t="n">
        <x:v>46217.994571759256</x:v>
      </x:c>
      <x:c r="L26" s="26" t="str">
        <x:v>/products/desk-cable-management/</x:v>
      </x:c>
      <x:c r="M26" s="47" t="str">
        <x:v>https://suggestqueries.google.com/complete/search?client=firefox&amp;hl=en&amp;gl=eg&amp;q=cable%20management%20desk</x:v>
      </x:c>
      <x:c r="N26" s="26" t="str">
        <x:v>SUPPORT; evidence SEO-KW-021; box feature</x:v>
      </x:c>
    </x:row>
    <x:row r="27" ht="34" customHeight="1">
      <x:c r="A27" s="26" t="str">
        <x:v>under desk cable management tray</x:v>
      </x:c>
      <x:c r="B27" s="26" t="str">
        <x:v>EG</x:v>
      </x:c>
      <x:c r="C27" s="26" t="str">
        <x:v>en</x:v>
      </x:c>
      <x:c r="D27" s="26" t="str">
        <x:v>transactional</x:v>
      </x:c>
      <x:c r="E27" s="26" t="str">
        <x:v>cable control</x:v>
      </x:c>
      <x:c r="F27" s="26" t="str">
        <x:v>retailer_listing_presence</x:v>
      </x:c>
      <x:c r="G27" s="26" t="str">
        <x:v>present</x:v>
      </x:c>
      <x:c r="H27" s="26" t="str">
        <x:v>qualitative</x:v>
      </x:c>
      <x:c r="I27" s="26" t="str">
        <x:v>not_measured</x:v>
      </x:c>
      <x:c r="J27" s="26" t="str">
        <x:v>Noon Egypt</x:v>
      </x:c>
      <x:c r="K27" s="44" t="n">
        <x:v>46217.994571759256</x:v>
      </x:c>
      <x:c r="L27" s="26" t="str">
        <x:v>/products/desk-cable-management/</x:v>
      </x:c>
      <x:c r="M27" s="47" t="str">
        <x:v>https://www.noon.com/egypt-en/under-desk-cable-management-tray-black-with-clamp-for-wire-management-cord-organization-box-for-office-home/Z856C2530446425AD6097Z/p/</x:v>
      </x:c>
      <x:c r="N27" s="26" t="str">
        <x:v>SUPPORT; evidence SEO-KW-022; exact local listing terminology</x:v>
      </x:c>
    </x:row>
    <x:row r="28" ht="34" customHeight="1">
      <x:c r="A28" s="26" t="str">
        <x:v>cable organizer egypt</x:v>
      </x:c>
      <x:c r="B28" s="26" t="str">
        <x:v>EG</x:v>
      </x:c>
      <x:c r="C28" s="26" t="str">
        <x:v>en</x:v>
      </x:c>
      <x:c r="D28" s="26" t="str">
        <x:v>transactional</x:v>
      </x:c>
      <x:c r="E28" s="26" t="str">
        <x:v>cable control</x:v>
      </x:c>
      <x:c r="F28" s="26" t="str">
        <x:v>google_autocomplete_presence</x:v>
      </x:c>
      <x:c r="G28" s="26" t="str">
        <x:v>returned</x:v>
      </x:c>
      <x:c r="H28" s="26" t="str">
        <x:v>qualitative</x:v>
      </x:c>
      <x:c r="I28" s="26" t="str">
        <x:v>not_measured</x:v>
      </x:c>
      <x:c r="J28" s="26" t="str">
        <x:v>Google Autocomplete Egypt</x:v>
      </x:c>
      <x:c r="K28" s="44" t="n">
        <x:v>46217.994571759256</x:v>
      </x:c>
      <x:c r="L28" s="26" t="str">
        <x:v>/products/desk-cable-management/</x:v>
      </x:c>
      <x:c r="M28" s="47" t="str">
        <x:v>https://suggestqueries.google.com/complete/search?client=firefox&amp;hl=en&amp;gl=eg&amp;q=cable%20organizer%20egypt</x:v>
      </x:c>
      <x:c r="N28" s="26" t="str">
        <x:v>SUPPORT; evidence SEO-KW-023; local modifier</x:v>
      </x:c>
    </x:row>
    <x:row r="29" ht="34" customHeight="1">
      <x:c r="A29" s="26" t="str">
        <x:v>كيبل مانجمنت</x:v>
      </x:c>
      <x:c r="B29" s="26" t="str">
        <x:v>EG</x:v>
      </x:c>
      <x:c r="C29" s="26" t="str">
        <x:v>ar</x:v>
      </x:c>
      <x:c r="D29" s="26" t="str">
        <x:v>commercial investigation</x:v>
      </x:c>
      <x:c r="E29" s="26" t="str">
        <x:v>cable control</x:v>
      </x:c>
      <x:c r="F29" s="26" t="str">
        <x:v>google_autocomplete_presence</x:v>
      </x:c>
      <x:c r="G29" s="26" t="str">
        <x:v>returned</x:v>
      </x:c>
      <x:c r="H29" s="26" t="str">
        <x:v>qualitative</x:v>
      </x:c>
      <x:c r="I29" s="26" t="str">
        <x:v>not_measured</x:v>
      </x:c>
      <x:c r="J29" s="26" t="str">
        <x:v>Google Autocomplete Egypt Arabic</x:v>
      </x:c>
      <x:c r="K29" s="44" t="n">
        <x:v>46217.994571759256</x:v>
      </x:c>
      <x:c r="L29" s="26" t="str">
        <x:v>/products/desk-cable-management/</x:v>
      </x:c>
      <x:c r="M29" s="47" t="str">
        <x:v>https://suggestqueries.google.com/complete/search?client=firefox&amp;hl=ar&amp;gl=eg&amp;q=%D9%83%D9%8A%D8%A8%D9%84%20%D9%85%D8%A7%D9%86%D8%AC%D9%85%D9%86%D8%AA</x:v>
      </x:c>
      <x:c r="N29" s="26" t="str">
        <x:v>SUPPORT; evidence SEO-KW-024; transliterated loan phrase</x:v>
      </x:c>
    </x:row>
    <x:row r="30" ht="34" customHeight="1">
      <x:c r="A30" s="26" t="str">
        <x:v>ergonomic mouse</x:v>
      </x:c>
      <x:c r="B30" s="26" t="str">
        <x:v>EG</x:v>
      </x:c>
      <x:c r="C30" s="26" t="str">
        <x:v>en</x:v>
      </x:c>
      <x:c r="D30" s="26" t="str">
        <x:v>commercial investigation</x:v>
      </x:c>
      <x:c r="E30" s="26" t="str">
        <x:v>input comfort</x:v>
      </x:c>
      <x:c r="F30" s="26" t="str">
        <x:v>google_autocomplete_presence</x:v>
      </x:c>
      <x:c r="G30" s="26" t="str">
        <x:v>returned</x:v>
      </x:c>
      <x:c r="H30" s="26" t="str">
        <x:v>qualitative</x:v>
      </x:c>
      <x:c r="I30" s="26" t="str">
        <x:v>not_measured</x:v>
      </x:c>
      <x:c r="J30" s="26" t="str">
        <x:v>Google Autocomplete Egypt</x:v>
      </x:c>
      <x:c r="K30" s="44" t="n">
        <x:v>46217.994571759256</x:v>
      </x:c>
      <x:c r="L30" s="26" t="str">
        <x:v>/products/ergonomic-mouse/</x:v>
      </x:c>
      <x:c r="M30" s="47" t="str">
        <x:v>https://suggestqueries.google.com/complete/search?client=firefox&amp;hl=en&amp;gl=eg&amp;q=ergonomic%20mouse</x:v>
      </x:c>
      <x:c r="N30" s="26" t="str">
        <x:v>PRIMARY; evidence SEO-KW-025; proxy is not search volume</x:v>
      </x:c>
    </x:row>
    <x:row r="31" ht="34" customHeight="1">
      <x:c r="A31" s="26" t="str">
        <x:v>ergonomic mouse egypt</x:v>
      </x:c>
      <x:c r="B31" s="26" t="str">
        <x:v>EG</x:v>
      </x:c>
      <x:c r="C31" s="26" t="str">
        <x:v>en</x:v>
      </x:c>
      <x:c r="D31" s="26" t="str">
        <x:v>transactional</x:v>
      </x:c>
      <x:c r="E31" s="26" t="str">
        <x:v>input comfort</x:v>
      </x:c>
      <x:c r="F31" s="26" t="str">
        <x:v>google_autocomplete_presence</x:v>
      </x:c>
      <x:c r="G31" s="26" t="str">
        <x:v>returned</x:v>
      </x:c>
      <x:c r="H31" s="26" t="str">
        <x:v>qualitative</x:v>
      </x:c>
      <x:c r="I31" s="26" t="str">
        <x:v>not_measured</x:v>
      </x:c>
      <x:c r="J31" s="26" t="str">
        <x:v>Google Autocomplete Egypt</x:v>
      </x:c>
      <x:c r="K31" s="44" t="n">
        <x:v>46217.994571759256</x:v>
      </x:c>
      <x:c r="L31" s="26" t="str">
        <x:v>/products/ergonomic-mouse/</x:v>
      </x:c>
      <x:c r="M31" s="47" t="str">
        <x:v>https://suggestqueries.google.com/complete/search?client=firefox&amp;hl=en&amp;gl=eg&amp;q=ergonomic%20mouse</x:v>
      </x:c>
      <x:c r="N31" s="26" t="str">
        <x:v>SUPPORT; evidence SEO-KW-026; local modifier</x:v>
      </x:c>
    </x:row>
    <x:row r="32" ht="34" customHeight="1">
      <x:c r="A32" s="26" t="str">
        <x:v>ergonomic mouse wireless</x:v>
      </x:c>
      <x:c r="B32" s="26" t="str">
        <x:v>EG</x:v>
      </x:c>
      <x:c r="C32" s="26" t="str">
        <x:v>en</x:v>
      </x:c>
      <x:c r="D32" s="26" t="str">
        <x:v>commercial investigation</x:v>
      </x:c>
      <x:c r="E32" s="26" t="str">
        <x:v>input comfort</x:v>
      </x:c>
      <x:c r="F32" s="26" t="str">
        <x:v>google_autocomplete_presence</x:v>
      </x:c>
      <x:c r="G32" s="26" t="str">
        <x:v>returned</x:v>
      </x:c>
      <x:c r="H32" s="26" t="str">
        <x:v>qualitative</x:v>
      </x:c>
      <x:c r="I32" s="26" t="str">
        <x:v>not_measured</x:v>
      </x:c>
      <x:c r="J32" s="26" t="str">
        <x:v>Google Autocomplete Egypt</x:v>
      </x:c>
      <x:c r="K32" s="44" t="n">
        <x:v>46217.994571759256</x:v>
      </x:c>
      <x:c r="L32" s="26" t="str">
        <x:v>/products/ergonomic-mouse/</x:v>
      </x:c>
      <x:c r="M32" s="47" t="str">
        <x:v>https://suggestqueries.google.com/complete/search?client=firefox&amp;hl=en&amp;gl=eg&amp;q=ergonomic%20mouse</x:v>
      </x:c>
      <x:c r="N32" s="26" t="str">
        <x:v>SUPPORT; evidence SEO-KW-027; connectivity modifier</x:v>
      </x:c>
    </x:row>
    <x:row r="33" ht="34" customHeight="1">
      <x:c r="A33" s="26" t="str">
        <x:v>ergonomic mouse for carpal tunnel</x:v>
      </x:c>
      <x:c r="B33" s="26" t="str">
        <x:v>EG</x:v>
      </x:c>
      <x:c r="C33" s="26" t="str">
        <x:v>en</x:v>
      </x:c>
      <x:c r="D33" s="26" t="str">
        <x:v>commercial investigation</x:v>
      </x:c>
      <x:c r="E33" s="26" t="str">
        <x:v>input comfort</x:v>
      </x:c>
      <x:c r="F33" s="26" t="str">
        <x:v>google_autocomplete_presence</x:v>
      </x:c>
      <x:c r="G33" s="26" t="str">
        <x:v>returned</x:v>
      </x:c>
      <x:c r="H33" s="26" t="str">
        <x:v>qualitative</x:v>
      </x:c>
      <x:c r="I33" s="26" t="str">
        <x:v>not_measured</x:v>
      </x:c>
      <x:c r="J33" s="26" t="str">
        <x:v>Google Autocomplete Egypt</x:v>
      </x:c>
      <x:c r="K33" s="44" t="n">
        <x:v>46217.994571759256</x:v>
      </x:c>
      <x:c r="L33" s="26" t="str">
        <x:v>/products/ergonomic-mouse/</x:v>
      </x:c>
      <x:c r="M33" s="47" t="str">
        <x:v>https://suggestqueries.google.com/complete/search?client=firefox&amp;hl=en&amp;gl=eg&amp;q=ergonomic%20mouse</x:v>
      </x:c>
      <x:c r="N33" s="26" t="str">
        <x:v>SUPPORT; evidence SEO-KW-028; problem modifier; avoid medical efficacy claims</x:v>
      </x:c>
    </x:row>
    <x:row r="34" ht="34" customHeight="1">
      <x:c r="A34" s="26" t="str">
        <x:v>ماوس مريح لليد</x:v>
      </x:c>
      <x:c r="B34" s="26" t="str">
        <x:v>EG</x:v>
      </x:c>
      <x:c r="C34" s="26" t="str">
        <x:v>ar</x:v>
      </x:c>
      <x:c r="D34" s="26" t="str">
        <x:v>commercial investigation</x:v>
      </x:c>
      <x:c r="E34" s="26" t="str">
        <x:v>input comfort</x:v>
      </x:c>
      <x:c r="F34" s="26" t="str">
        <x:v>google_autocomplete_presence</x:v>
      </x:c>
      <x:c r="G34" s="26" t="str">
        <x:v>returned</x:v>
      </x:c>
      <x:c r="H34" s="26" t="str">
        <x:v>qualitative</x:v>
      </x:c>
      <x:c r="I34" s="26" t="str">
        <x:v>not_measured</x:v>
      </x:c>
      <x:c r="J34" s="26" t="str">
        <x:v>Google Autocomplete Egypt Arabic</x:v>
      </x:c>
      <x:c r="K34" s="44" t="n">
        <x:v>46217.994571759256</x:v>
      </x:c>
      <x:c r="L34" s="26" t="str">
        <x:v>/products/ergonomic-mouse/</x:v>
      </x:c>
      <x:c r="M34" s="47" t="str">
        <x:v>https://suggestqueries.google.com/complete/search?client=firefox&amp;hl=ar&amp;gl=eg&amp;q=%D9%85%D8%A7%D9%88%D8%B3%20%D9%85%D8%B1%D9%8A%D8%AD</x:v>
      </x:c>
      <x:c r="N34" s="26" t="str">
        <x:v>SUPPORT; evidence SEO-KW-029; Arabic problem phrase</x:v>
      </x:c>
    </x:row>
    <x:row r="35" ht="34" customHeight="1">
      <x:c r="A35" s="26" t="str">
        <x:v>ماوس ergonomic</x:v>
      </x:c>
      <x:c r="B35" s="26" t="str">
        <x:v>EG</x:v>
      </x:c>
      <x:c r="C35" s="26" t="str">
        <x:v>mixed</x:v>
      </x:c>
      <x:c r="D35" s="26" t="str">
        <x:v>commercial investigation</x:v>
      </x:c>
      <x:c r="E35" s="26" t="str">
        <x:v>input comfort</x:v>
      </x:c>
      <x:c r="F35" s="26" t="str">
        <x:v>google_autocomplete_presence</x:v>
      </x:c>
      <x:c r="G35" s="26" t="str">
        <x:v>returned</x:v>
      </x:c>
      <x:c r="H35" s="26" t="str">
        <x:v>qualitative</x:v>
      </x:c>
      <x:c r="I35" s="26" t="str">
        <x:v>not_measured</x:v>
      </x:c>
      <x:c r="J35" s="26" t="str">
        <x:v>Google Autocomplete Egypt Arabic</x:v>
      </x:c>
      <x:c r="K35" s="44" t="n">
        <x:v>46217.994571759256</x:v>
      </x:c>
      <x:c r="L35" s="26" t="str">
        <x:v>/products/ergonomic-mouse/</x:v>
      </x:c>
      <x:c r="M35" s="47" t="str">
        <x:v>https://suggestqueries.google.com/complete/search?client=firefox&amp;hl=ar&amp;gl=eg&amp;q=%D9%85%D8%A7%D9%88%D8%B3%20ergonomic</x:v>
      </x:c>
      <x:c r="N35" s="26" t="str">
        <x:v>SUPPORT; evidence SEO-KW-030; mixed-script query</x:v>
      </x:c>
    </x:row>
    <x:row r="36" ht="34" customHeight="1">
      <x:c r="A36" s="26" t="str">
        <x:v>laptop desk setup</x:v>
      </x:c>
      <x:c r="B36" s="26" t="str">
        <x:v>EG</x:v>
      </x:c>
      <x:c r="C36" s="26" t="str">
        <x:v>en</x:v>
      </x:c>
      <x:c r="D36" s="26" t="str">
        <x:v>informational</x:v>
      </x:c>
      <x:c r="E36" s="26" t="str">
        <x:v>laptop desk setup</x:v>
      </x:c>
      <x:c r="F36" s="26" t="str">
        <x:v>google_autocomplete_presence</x:v>
      </x:c>
      <x:c r="G36" s="26" t="str">
        <x:v>returned</x:v>
      </x:c>
      <x:c r="H36" s="26" t="str">
        <x:v>qualitative</x:v>
      </x:c>
      <x:c r="I36" s="26" t="str">
        <x:v>not_measured</x:v>
      </x:c>
      <x:c r="J36" s="26" t="str">
        <x:v>Google Autocomplete Egypt</x:v>
      </x:c>
      <x:c r="K36" s="44" t="n">
        <x:v>46217.994571759256</x:v>
      </x:c>
      <x:c r="L36" s="26" t="str">
        <x:v>/guides/fix-laptop-desk-setup-egypt/</x:v>
      </x:c>
      <x:c r="M36" s="47" t="str">
        <x:v>https://suggestqueries.google.com/complete/search?client=firefox&amp;hl=en&amp;gl=eg&amp;q=laptop%20desk%20setup</x:v>
      </x:c>
      <x:c r="N36" s="26" t="str">
        <x:v>PRIMARY; evidence SEO-KW-031; broad diagnostic intent</x:v>
      </x:c>
    </x:row>
    <x:row r="37" ht="34" customHeight="1">
      <x:c r="A37" s="26" t="str">
        <x:v>laptop desk setup without monitor</x:v>
      </x:c>
      <x:c r="B37" s="26" t="str">
        <x:v>EG</x:v>
      </x:c>
      <x:c r="C37" s="26" t="str">
        <x:v>en</x:v>
      </x:c>
      <x:c r="D37" s="26" t="str">
        <x:v>informational</x:v>
      </x:c>
      <x:c r="E37" s="26" t="str">
        <x:v>laptop desk setup</x:v>
      </x:c>
      <x:c r="F37" s="26" t="str">
        <x:v>google_autocomplete_presence</x:v>
      </x:c>
      <x:c r="G37" s="26" t="str">
        <x:v>returned</x:v>
      </x:c>
      <x:c r="H37" s="26" t="str">
        <x:v>qualitative</x:v>
      </x:c>
      <x:c r="I37" s="26" t="str">
        <x:v>not_measured</x:v>
      </x:c>
      <x:c r="J37" s="26" t="str">
        <x:v>Google Autocomplete Egypt</x:v>
      </x:c>
      <x:c r="K37" s="44" t="n">
        <x:v>46217.994571759256</x:v>
      </x:c>
      <x:c r="L37" s="26" t="str">
        <x:v>/guides/fix-laptop-desk-setup-egypt/</x:v>
      </x:c>
      <x:c r="M37" s="47" t="str">
        <x:v>https://suggestqueries.google.com/complete/search?client=firefox&amp;hl=en&amp;gl=eg&amp;q=laptop%20desk%20setup</x:v>
      </x:c>
      <x:c r="N37" s="26" t="str">
        <x:v>SUPPORT; evidence SEO-KW-032; no-monitor modifier</x:v>
      </x:c>
    </x:row>
    <x:row r="38" ht="34" customHeight="1">
      <x:c r="A38" s="26" t="str">
        <x:v>laptop desk setup accessories</x:v>
      </x:c>
      <x:c r="B38" s="26" t="str">
        <x:v>EG</x:v>
      </x:c>
      <x:c r="C38" s="26" t="str">
        <x:v>en</x:v>
      </x:c>
      <x:c r="D38" s="26" t="str">
        <x:v>informational</x:v>
      </x:c>
      <x:c r="E38" s="26" t="str">
        <x:v>laptop desk setup</x:v>
      </x:c>
      <x:c r="F38" s="26" t="str">
        <x:v>google_autocomplete_presence</x:v>
      </x:c>
      <x:c r="G38" s="26" t="str">
        <x:v>returned</x:v>
      </x:c>
      <x:c r="H38" s="26" t="str">
        <x:v>qualitative</x:v>
      </x:c>
      <x:c r="I38" s="26" t="str">
        <x:v>not_measured</x:v>
      </x:c>
      <x:c r="J38" s="26" t="str">
        <x:v>Google Autocomplete Egypt</x:v>
      </x:c>
      <x:c r="K38" s="44" t="n">
        <x:v>46217.994571759256</x:v>
      </x:c>
      <x:c r="L38" s="26" t="str">
        <x:v>/guides/fix-laptop-desk-setup-egypt/</x:v>
      </x:c>
      <x:c r="M38" s="47" t="str">
        <x:v>https://suggestqueries.google.com/complete/search?client=firefox&amp;hl=en&amp;gl=eg&amp;q=laptop%20desk%20setup</x:v>
      </x:c>
      <x:c r="N38" s="26" t="str">
        <x:v>SUPPORT; evidence SEO-KW-033; accessory overview intent</x:v>
      </x:c>
    </x:row>
    <x:row r="39" ht="34" customHeight="1">
      <x:c r="A39" s="26" t="str">
        <x:v>laptop desk ergonomics</x:v>
      </x:c>
      <x:c r="B39" s="26" t="str">
        <x:v>EG</x:v>
      </x:c>
      <x:c r="C39" s="26" t="str">
        <x:v>en</x:v>
      </x:c>
      <x:c r="D39" s="26" t="str">
        <x:v>informational</x:v>
      </x:c>
      <x:c r="E39" s="26" t="str">
        <x:v>laptop desk setup</x:v>
      </x:c>
      <x:c r="F39" s="26" t="str">
        <x:v>google_autocomplete_presence</x:v>
      </x:c>
      <x:c r="G39" s="26" t="str">
        <x:v>returned</x:v>
      </x:c>
      <x:c r="H39" s="26" t="str">
        <x:v>qualitative</x:v>
      </x:c>
      <x:c r="I39" s="26" t="str">
        <x:v>not_measured</x:v>
      </x:c>
      <x:c r="J39" s="26" t="str">
        <x:v>Google Autocomplete Egypt</x:v>
      </x:c>
      <x:c r="K39" s="44" t="n">
        <x:v>46217.994571759256</x:v>
      </x:c>
      <x:c r="L39" s="26" t="str">
        <x:v>/guides/fix-laptop-desk-setup-egypt/</x:v>
      </x:c>
      <x:c r="M39" s="47" t="str">
        <x:v>https://suggestqueries.google.com/complete/search?client=firefox&amp;hl=en&amp;gl=eg&amp;q=laptop%20desk%20ergonomics</x:v>
      </x:c>
      <x:c r="N39" s="26" t="str">
        <x:v>SUPPORT; evidence SEO-KW-034; ergonomic setup intent</x:v>
      </x:c>
    </x:row>
    <x:row r="40" ht="34" customHeight="1">
      <x:c r="A40" s="26" t="str">
        <x:v>how to work ergonomically with a laptop</x:v>
      </x:c>
      <x:c r="B40" s="26" t="str">
        <x:v>EG</x:v>
      </x:c>
      <x:c r="C40" s="26" t="str">
        <x:v>en</x:v>
      </x:c>
      <x:c r="D40" s="26" t="str">
        <x:v>informational</x:v>
      </x:c>
      <x:c r="E40" s="26" t="str">
        <x:v>laptop desk setup</x:v>
      </x:c>
      <x:c r="F40" s="26" t="str">
        <x:v>google_autocomplete_presence</x:v>
      </x:c>
      <x:c r="G40" s="26" t="str">
        <x:v>returned</x:v>
      </x:c>
      <x:c r="H40" s="26" t="str">
        <x:v>qualitative</x:v>
      </x:c>
      <x:c r="I40" s="26" t="str">
        <x:v>not_measured</x:v>
      </x:c>
      <x:c r="J40" s="26" t="str">
        <x:v>Google Autocomplete Egypt</x:v>
      </x:c>
      <x:c r="K40" s="44" t="n">
        <x:v>46217.994571759256</x:v>
      </x:c>
      <x:c r="L40" s="26" t="str">
        <x:v>/guides/fix-laptop-desk-setup-egypt/</x:v>
      </x:c>
      <x:c r="M40" s="47" t="str">
        <x:v>https://suggestqueries.google.com/complete/search?client=firefox&amp;hl=en&amp;gl=eg&amp;q=laptop%20desk%20ergonomics</x:v>
      </x:c>
      <x:c r="N40" s="26" t="str">
        <x:v>SUPPORT; evidence SEO-KW-035; question intent</x:v>
      </x:c>
    </x:row>
    <x:row r="41" ht="34" customHeight="1">
      <x:c r="A41" s="26" t="str">
        <x:v>ترتيب مكتب لابتوب</x:v>
      </x:c>
      <x:c r="B41" s="26" t="str">
        <x:v>EG</x:v>
      </x:c>
      <x:c r="C41" s="26" t="str">
        <x:v>ar</x:v>
      </x:c>
      <x:c r="D41" s="26" t="str">
        <x:v>informational</x:v>
      </x:c>
      <x:c r="E41" s="26" t="str">
        <x:v>laptop desk setup</x:v>
      </x:c>
      <x:c r="F41" s="26" t="str">
        <x:v>google_autocomplete_expansion</x:v>
      </x:c>
      <x:c r="G41" s="26" t="str">
        <x:v>not_returned</x:v>
      </x:c>
      <x:c r="H41" s="26" t="str">
        <x:v>qualitative</x:v>
      </x:c>
      <x:c r="I41" s="26" t="str">
        <x:v>not_measured</x:v>
      </x:c>
      <x:c r="J41" s="26" t="str">
        <x:v>Google Autocomplete Egypt Arabic</x:v>
      </x:c>
      <x:c r="K41" s="44" t="n">
        <x:v>46217.994571759256</x:v>
      </x:c>
      <x:c r="L41" s="26" t="str">
        <x:v>/guides/fix-laptop-desk-setup-egypt/</x:v>
      </x:c>
      <x:c r="M41" s="47" t="str">
        <x:v>https://suggestqueries.google.com/complete/search?client=firefox&amp;hl=ar&amp;gl=eg&amp;q=%D8%AA%D8%B1%D8%AA%D9%8A%D8%A8%20%D9%85%D9%83%D8%AA%D8%A8%20%D9%84%D8%A7%D8%A8%D8%AA%D9%88%D8%A8</x:v>
      </x:c>
      <x:c r="N41" s="26" t="str">
        <x:v>SUPPORT; evidence SEO-KW-036; natural Arabic candidate retained as weak evidence</x:v>
      </x:c>
    </x:row>
    <x:row r="42" ht="34" customHeight="1">
      <x:c r="A42" s="26" t="str">
        <x:v>how to choose usb c hub</x:v>
      </x:c>
      <x:c r="B42" s="26" t="str">
        <x:v>EG</x:v>
      </x:c>
      <x:c r="C42" s="26" t="str">
        <x:v>en</x:v>
      </x:c>
      <x:c r="D42" s="26" t="str">
        <x:v>informational</x:v>
      </x:c>
      <x:c r="E42" s="26" t="str">
        <x:v>usb-c hub selection</x:v>
      </x:c>
      <x:c r="F42" s="26" t="str">
        <x:v>google_autocomplete_presence</x:v>
      </x:c>
      <x:c r="G42" s="26" t="str">
        <x:v>returned</x:v>
      </x:c>
      <x:c r="H42" s="26" t="str">
        <x:v>qualitative</x:v>
      </x:c>
      <x:c r="I42" s="26" t="str">
        <x:v>not_measured</x:v>
      </x:c>
      <x:c r="J42" s="26" t="str">
        <x:v>Google Autocomplete Egypt</x:v>
      </x:c>
      <x:c r="K42" s="44" t="n">
        <x:v>46217.994571759256</x:v>
      </x:c>
      <x:c r="L42" s="26" t="str">
        <x:v>/guides/choose-usb-c-hub-egypt/</x:v>
      </x:c>
      <x:c r="M42" s="47" t="str">
        <x:v>https://suggestqueries.google.com/complete/search?client=firefox&amp;hl=en&amp;gl=eg&amp;q=how%20to%20choose%20usb%20c%20hub</x:v>
      </x:c>
      <x:c r="N42" s="26" t="str">
        <x:v>PRIMARY; evidence SEO-KW-037; selection-guide intent</x:v>
      </x:c>
    </x:row>
    <x:row r="43" ht="34" customHeight="1">
      <x:c r="A43" s="26" t="str">
        <x:v>how to set up usb c hub</x:v>
      </x:c>
      <x:c r="B43" s="26" t="str">
        <x:v>EG</x:v>
      </x:c>
      <x:c r="C43" s="26" t="str">
        <x:v>en</x:v>
      </x:c>
      <x:c r="D43" s="26" t="str">
        <x:v>informational</x:v>
      </x:c>
      <x:c r="E43" s="26" t="str">
        <x:v>usb-c hub selection</x:v>
      </x:c>
      <x:c r="F43" s="26" t="str">
        <x:v>google_autocomplete_presence</x:v>
      </x:c>
      <x:c r="G43" s="26" t="str">
        <x:v>returned</x:v>
      </x:c>
      <x:c r="H43" s="26" t="str">
        <x:v>qualitative</x:v>
      </x:c>
      <x:c r="I43" s="26" t="str">
        <x:v>not_measured</x:v>
      </x:c>
      <x:c r="J43" s="26" t="str">
        <x:v>Google Autocomplete Egypt</x:v>
      </x:c>
      <x:c r="K43" s="44" t="n">
        <x:v>46217.994571759256</x:v>
      </x:c>
      <x:c r="L43" s="26" t="str">
        <x:v>/guides/choose-usb-c-hub-egypt/</x:v>
      </x:c>
      <x:c r="M43" s="47" t="str">
        <x:v>https://suggestqueries.google.com/complete/search?client=firefox&amp;hl=en&amp;gl=eg&amp;q=how%20to%20choose%20usb%20c%20hub</x:v>
      </x:c>
      <x:c r="N43" s="26" t="str">
        <x:v>SUPPORT; evidence SEO-KW-038; setup question</x:v>
      </x:c>
    </x:row>
    <x:row r="44" ht="34" customHeight="1">
      <x:c r="A44" s="26" t="str">
        <x:v>how to use usb c hub</x:v>
      </x:c>
      <x:c r="B44" s="26" t="str">
        <x:v>EG</x:v>
      </x:c>
      <x:c r="C44" s="26" t="str">
        <x:v>en</x:v>
      </x:c>
      <x:c r="D44" s="26" t="str">
        <x:v>informational</x:v>
      </x:c>
      <x:c r="E44" s="26" t="str">
        <x:v>usb-c hub selection</x:v>
      </x:c>
      <x:c r="F44" s="26" t="str">
        <x:v>google_autocomplete_presence</x:v>
      </x:c>
      <x:c r="G44" s="26" t="str">
        <x:v>returned</x:v>
      </x:c>
      <x:c r="H44" s="26" t="str">
        <x:v>qualitative</x:v>
      </x:c>
      <x:c r="I44" s="26" t="str">
        <x:v>not_measured</x:v>
      </x:c>
      <x:c r="J44" s="26" t="str">
        <x:v>Google Autocomplete Egypt</x:v>
      </x:c>
      <x:c r="K44" s="44" t="n">
        <x:v>46217.994571759256</x:v>
      </x:c>
      <x:c r="L44" s="26" t="str">
        <x:v>/guides/choose-usb-c-hub-egypt/</x:v>
      </x:c>
      <x:c r="M44" s="47" t="str">
        <x:v>https://suggestqueries.google.com/complete/search?client=firefox&amp;hl=en&amp;gl=eg&amp;q=how%20to%20choose%20usb%20c%20hub</x:v>
      </x:c>
      <x:c r="N44" s="26" t="str">
        <x:v>SUPPORT; evidence SEO-KW-039; usage question</x:v>
      </x:c>
    </x:row>
    <x:row r="45" ht="34" customHeight="1">
      <x:c r="A45" s="26" t="str">
        <x:v>usb c hub compatibility</x:v>
      </x:c>
      <x:c r="B45" s="26" t="str">
        <x:v>EG</x:v>
      </x:c>
      <x:c r="C45" s="26" t="str">
        <x:v>en</x:v>
      </x:c>
      <x:c r="D45" s="26" t="str">
        <x:v>informational</x:v>
      </x:c>
      <x:c r="E45" s="26" t="str">
        <x:v>usb-c hub selection</x:v>
      </x:c>
      <x:c r="F45" s="26" t="str">
        <x:v>google_autocomplete_presence</x:v>
      </x:c>
      <x:c r="G45" s="26" t="str">
        <x:v>returned</x:v>
      </x:c>
      <x:c r="H45" s="26" t="str">
        <x:v>qualitative</x:v>
      </x:c>
      <x:c r="I45" s="26" t="str">
        <x:v>not_measured</x:v>
      </x:c>
      <x:c r="J45" s="26" t="str">
        <x:v>Google Autocomplete Egypt</x:v>
      </x:c>
      <x:c r="K45" s="44" t="n">
        <x:v>46217.994571759256</x:v>
      </x:c>
      <x:c r="L45" s="26" t="str">
        <x:v>/guides/choose-usb-c-hub-egypt/</x:v>
      </x:c>
      <x:c r="M45" s="47" t="str">
        <x:v>https://suggestqueries.google.com/complete/search?client=firefox&amp;hl=en&amp;gl=eg&amp;q=usb%20c%20hub%20compatibility</x:v>
      </x:c>
      <x:c r="N45" s="26" t="str">
        <x:v>SUPPORT; evidence SEO-KW-040; compatibility intent</x:v>
      </x:c>
    </x:row>
    <x:row r="46" ht="34" customHeight="1">
      <x:c r="A46" s="26" t="str">
        <x:v>usb c hub power delivery pass through</x:v>
      </x:c>
      <x:c r="B46" s="26" t="str">
        <x:v>EG</x:v>
      </x:c>
      <x:c r="C46" s="26" t="str">
        <x:v>en</x:v>
      </x:c>
      <x:c r="D46" s="26" t="str">
        <x:v>informational</x:v>
      </x:c>
      <x:c r="E46" s="26" t="str">
        <x:v>usb-c hub selection</x:v>
      </x:c>
      <x:c r="F46" s="26" t="str">
        <x:v>google_autocomplete_presence</x:v>
      </x:c>
      <x:c r="G46" s="26" t="str">
        <x:v>returned</x:v>
      </x:c>
      <x:c r="H46" s="26" t="str">
        <x:v>qualitative</x:v>
      </x:c>
      <x:c r="I46" s="26" t="str">
        <x:v>not_measured</x:v>
      </x:c>
      <x:c r="J46" s="26" t="str">
        <x:v>Google Autocomplete Egypt</x:v>
      </x:c>
      <x:c r="K46" s="44" t="n">
        <x:v>46217.994571759256</x:v>
      </x:c>
      <x:c r="L46" s="26" t="str">
        <x:v>/guides/choose-usb-c-hub-egypt/</x:v>
      </x:c>
      <x:c r="M46" s="47" t="str">
        <x:v>https://suggestqueries.google.com/complete/search?client=firefox&amp;hl=en&amp;gl=eg&amp;q=usb%20c%20hub%20power%20delivery</x:v>
      </x:c>
      <x:c r="N46" s="26" t="str">
        <x:v>SUPPORT; evidence SEO-KW-041; explanation intent</x:v>
      </x:c>
    </x:row>
    <x:row r="47" ht="34" customHeight="1">
      <x:c r="A47" s="26" t="str">
        <x:v>كيفية اختيار هاب تايب سي</x:v>
      </x:c>
      <x:c r="B47" s="26" t="str">
        <x:v>EG</x:v>
      </x:c>
      <x:c r="C47" s="26" t="str">
        <x:v>ar</x:v>
      </x:c>
      <x:c r="D47" s="26" t="str">
        <x:v>informational</x:v>
      </x:c>
      <x:c r="E47" s="26" t="str">
        <x:v>usb-c hub selection</x:v>
      </x:c>
      <x:c r="F47" s="26" t="str">
        <x:v>google_autocomplete_expansion</x:v>
      </x:c>
      <x:c r="G47" s="26" t="str">
        <x:v>not_returned</x:v>
      </x:c>
      <x:c r="H47" s="26" t="str">
        <x:v>qualitative</x:v>
      </x:c>
      <x:c r="I47" s="26" t="str">
        <x:v>not_measured</x:v>
      </x:c>
      <x:c r="J47" s="26" t="str">
        <x:v>Google Autocomplete Egypt Arabic</x:v>
      </x:c>
      <x:c r="K47" s="44" t="n">
        <x:v>46217.994571759256</x:v>
      </x:c>
      <x:c r="L47" s="26" t="str">
        <x:v>/guides/choose-usb-c-hub-egypt/</x:v>
      </x:c>
      <x:c r="M47" s="47" t="str">
        <x:v>https://suggestqueries.google.com/complete/search?client=firefox&amp;hl=ar&amp;gl=eg&amp;q=%D9%83%D9%8A%D9%81%D9%8A%D8%A9%20%D8%A7%D8%AE%D8%AA%D9%8A%D8%A7%D8%B1%20%D9%87%D8%A7%D8%A8%20%D8%AA%D8%A7%D9%8A%D8%A8%20%D8%B3%D9%8A</x:v>
      </x:c>
      <x:c r="N47" s="26" t="str">
        <x:v>SUPPORT; evidence SEO-KW-042; natural Arabic candidate retained as weak evidence</x:v>
      </x:c>
    </x:row>
    <x:row r="48" ht="34" customHeight="1">
      <x:c r="A48" s="26" t="str">
        <x:v>laptop running hot</x:v>
      </x:c>
      <x:c r="B48" s="26" t="str">
        <x:v>EG</x:v>
      </x:c>
      <x:c r="C48" s="26" t="str">
        <x:v>en</x:v>
      </x:c>
      <x:c r="D48" s="26" t="str">
        <x:v>informational</x:v>
      </x:c>
      <x:c r="E48" s="26" t="str">
        <x:v>laptop heat diagnosis</x:v>
      </x:c>
      <x:c r="F48" s="26" t="str">
        <x:v>google_autocomplete_presence</x:v>
      </x:c>
      <x:c r="G48" s="26" t="str">
        <x:v>returned</x:v>
      </x:c>
      <x:c r="H48" s="26" t="str">
        <x:v>qualitative</x:v>
      </x:c>
      <x:c r="I48" s="26" t="str">
        <x:v>not_measured</x:v>
      </x:c>
      <x:c r="J48" s="26" t="str">
        <x:v>Google Autocomplete Egypt</x:v>
      </x:c>
      <x:c r="K48" s="44" t="n">
        <x:v>46217.994571759256</x:v>
      </x:c>
      <x:c r="L48" s="26" t="str">
        <x:v>/guides/laptop-heat-posture-cable-fixes/</x:v>
      </x:c>
      <x:c r="M48" s="47" t="str">
        <x:v>https://suggestqueries.google.com/complete/search?client=firefox&amp;hl=en&amp;gl=eg&amp;q=laptop%20running%20hot</x:v>
      </x:c>
      <x:c r="N48" s="26" t="str">
        <x:v>PRIMARY; evidence SEO-KW-043; diagnostic intent</x:v>
      </x:c>
    </x:row>
    <x:row r="49" ht="34" customHeight="1">
      <x:c r="A49" s="26" t="str">
        <x:v>laptop running hot and slow</x:v>
      </x:c>
      <x:c r="B49" s="26" t="str">
        <x:v>EG</x:v>
      </x:c>
      <x:c r="C49" s="26" t="str">
        <x:v>en</x:v>
      </x:c>
      <x:c r="D49" s="26" t="str">
        <x:v>informational</x:v>
      </x:c>
      <x:c r="E49" s="26" t="str">
        <x:v>laptop heat diagnosis</x:v>
      </x:c>
      <x:c r="F49" s="26" t="str">
        <x:v>google_autocomplete_presence</x:v>
      </x:c>
      <x:c r="G49" s="26" t="str">
        <x:v>returned</x:v>
      </x:c>
      <x:c r="H49" s="26" t="str">
        <x:v>qualitative</x:v>
      </x:c>
      <x:c r="I49" s="26" t="str">
        <x:v>not_measured</x:v>
      </x:c>
      <x:c r="J49" s="26" t="str">
        <x:v>Google Autocomplete Egypt</x:v>
      </x:c>
      <x:c r="K49" s="44" t="n">
        <x:v>46217.994571759256</x:v>
      </x:c>
      <x:c r="L49" s="26" t="str">
        <x:v>/guides/laptop-heat-posture-cable-fixes/</x:v>
      </x:c>
      <x:c r="M49" s="47" t="str">
        <x:v>https://suggestqueries.google.com/complete/search?client=firefox&amp;hl=en&amp;gl=eg&amp;q=laptop%20running%20hot</x:v>
      </x:c>
      <x:c r="N49" s="26" t="str">
        <x:v>SUPPORT; evidence SEO-KW-044; symptom modifier</x:v>
      </x:c>
    </x:row>
    <x:row r="50" ht="34" customHeight="1">
      <x:c r="A50" s="26" t="str">
        <x:v>laptop running hot and loud</x:v>
      </x:c>
      <x:c r="B50" s="26" t="str">
        <x:v>EG</x:v>
      </x:c>
      <x:c r="C50" s="26" t="str">
        <x:v>en</x:v>
      </x:c>
      <x:c r="D50" s="26" t="str">
        <x:v>informational</x:v>
      </x:c>
      <x:c r="E50" s="26" t="str">
        <x:v>laptop heat diagnosis</x:v>
      </x:c>
      <x:c r="F50" s="26" t="str">
        <x:v>google_autocomplete_presence</x:v>
      </x:c>
      <x:c r="G50" s="26" t="str">
        <x:v>returned</x:v>
      </x:c>
      <x:c r="H50" s="26" t="str">
        <x:v>qualitative</x:v>
      </x:c>
      <x:c r="I50" s="26" t="str">
        <x:v>not_measured</x:v>
      </x:c>
      <x:c r="J50" s="26" t="str">
        <x:v>Google Autocomplete Egypt</x:v>
      </x:c>
      <x:c r="K50" s="44" t="n">
        <x:v>46217.994571759256</x:v>
      </x:c>
      <x:c r="L50" s="26" t="str">
        <x:v>/guides/laptop-heat-posture-cable-fixes/</x:v>
      </x:c>
      <x:c r="M50" s="47" t="str">
        <x:v>https://suggestqueries.google.com/complete/search?client=firefox&amp;hl=en&amp;gl=eg&amp;q=laptop%20running%20hot</x:v>
      </x:c>
      <x:c r="N50" s="26" t="str">
        <x:v>SUPPORT; evidence SEO-KW-045; symptom modifier</x:v>
      </x:c>
    </x:row>
    <x:row r="51" ht="34" customHeight="1">
      <x:c r="A51" s="26" t="str">
        <x:v>سبب سخونة اللابتوب</x:v>
      </x:c>
      <x:c r="B51" s="26" t="str">
        <x:v>EG</x:v>
      </x:c>
      <x:c r="C51" s="26" t="str">
        <x:v>ar</x:v>
      </x:c>
      <x:c r="D51" s="26" t="str">
        <x:v>informational</x:v>
      </x:c>
      <x:c r="E51" s="26" t="str">
        <x:v>laptop heat diagnosis</x:v>
      </x:c>
      <x:c r="F51" s="26" t="str">
        <x:v>google_autocomplete_presence</x:v>
      </x:c>
      <x:c r="G51" s="26" t="str">
        <x:v>returned</x:v>
      </x:c>
      <x:c r="H51" s="26" t="str">
        <x:v>qualitative</x:v>
      </x:c>
      <x:c r="I51" s="26" t="str">
        <x:v>not_measured</x:v>
      </x:c>
      <x:c r="J51" s="26" t="str">
        <x:v>Google Autocomplete Egypt Arabic</x:v>
      </x:c>
      <x:c r="K51" s="44" t="n">
        <x:v>46217.994571759256</x:v>
      </x:c>
      <x:c r="L51" s="26" t="str">
        <x:v>/guides/laptop-heat-posture-cable-fixes/</x:v>
      </x:c>
      <x:c r="M51" s="47" t="str">
        <x:v>https://suggestqueries.google.com/complete/search?client=firefox&amp;hl=ar&amp;gl=eg&amp;q=%D8%B3%D8%AE%D9%88%D9%86%D8%A9%20%D8%A7%D9%84%D9%84%D8%A7%D8%A8%D8%AA%D9%88%D8%A8</x:v>
      </x:c>
      <x:c r="N51" s="26" t="str">
        <x:v>SUPPORT; evidence SEO-KW-046; Arabic cause query</x:v>
      </x:c>
    </x:row>
    <x:row r="52" ht="34" customHeight="1">
      <x:c r="A52" s="26" t="str">
        <x:v>حل مشكلة سخونة اللابتوب</x:v>
      </x:c>
      <x:c r="B52" s="26" t="str">
        <x:v>EG</x:v>
      </x:c>
      <x:c r="C52" s="26" t="str">
        <x:v>ar</x:v>
      </x:c>
      <x:c r="D52" s="26" t="str">
        <x:v>informational</x:v>
      </x:c>
      <x:c r="E52" s="26" t="str">
        <x:v>laptop heat diagnosis</x:v>
      </x:c>
      <x:c r="F52" s="26" t="str">
        <x:v>google_autocomplete_presence</x:v>
      </x:c>
      <x:c r="G52" s="26" t="str">
        <x:v>returned</x:v>
      </x:c>
      <x:c r="H52" s="26" t="str">
        <x:v>qualitative</x:v>
      </x:c>
      <x:c r="I52" s="26" t="str">
        <x:v>not_measured</x:v>
      </x:c>
      <x:c r="J52" s="26" t="str">
        <x:v>Google Autocomplete Egypt Arabic</x:v>
      </x:c>
      <x:c r="K52" s="44" t="n">
        <x:v>46217.994571759256</x:v>
      </x:c>
      <x:c r="L52" s="26" t="str">
        <x:v>/guides/laptop-heat-posture-cable-fixes/</x:v>
      </x:c>
      <x:c r="M52" s="47" t="str">
        <x:v>https://suggestqueries.google.com/complete/search?client=firefox&amp;hl=ar&amp;gl=eg&amp;q=%D8%AD%D9%84%20%D8%B3%D8%AE%D9%88%D9%86%D8%A9%20%D8%A7%D9%84%D9%84%D8%A7%D8%A8%D8%AA%D9%88%D8%A8</x:v>
      </x:c>
      <x:c r="N52" s="26" t="str">
        <x:v>SUPPORT; evidence SEO-KW-047; Arabic fix query</x:v>
      </x:c>
    </x:row>
    <x:row r="53" ht="34" customHeight="1">
      <x:c r="A53" s="27" t="str">
        <x:v>ارتفاع حرارة اللابتوب</x:v>
      </x:c>
      <x:c r="B53" s="27" t="str">
        <x:v>EG</x:v>
      </x:c>
      <x:c r="C53" s="27" t="str">
        <x:v>ar</x:v>
      </x:c>
      <x:c r="D53" s="27" t="str">
        <x:v>informational</x:v>
      </x:c>
      <x:c r="E53" s="27" t="str">
        <x:v>laptop heat diagnosis</x:v>
      </x:c>
      <x:c r="F53" s="27" t="str">
        <x:v>google_autocomplete_presence</x:v>
      </x:c>
      <x:c r="G53" s="27" t="str">
        <x:v>returned</x:v>
      </x:c>
      <x:c r="H53" s="27" t="str">
        <x:v>qualitative</x:v>
      </x:c>
      <x:c r="I53" s="27" t="str">
        <x:v>not_measured</x:v>
      </x:c>
      <x:c r="J53" s="27" t="str">
        <x:v>Google Autocomplete Egypt Arabic</x:v>
      </x:c>
      <x:c r="K53" s="45" t="n">
        <x:v>46217.994571759256</x:v>
      </x:c>
      <x:c r="L53" s="27" t="str">
        <x:v>/guides/laptop-heat-posture-cable-fixes/</x:v>
      </x:c>
      <x:c r="M53" s="48" t="str">
        <x:v>https://suggestqueries.google.com/complete/search?client=firefox&amp;hl=ar&amp;gl=eg&amp;q=%D8%AD%D8%B1%D8%A7%D8%B1%D8%A9%20%D8%A7%D9%84%D9%84%D8%A7%D8%A8%D8%AA%D9%88%D8%A8</x:v>
      </x:c>
      <x:c r="N53" s="27" t="str">
        <x:v>SUPPORT; evidence SEO-KW-048; Arabic symptom query</x:v>
      </x:c>
    </x:row>
  </x:sheetData>
  <x:mergeCells>
    <x:mergeCell ref="A1:N1"/>
    <x:mergeCell ref="A2:N2"/>
  </x:mergeCells>
  <x:conditionalFormatting sqref="G6:G53">
    <x:cfRule type="containsText" dxfId="2" priority="1" operator="containsText" text="returned"/>
    <x:cfRule type="containsText" dxfId="3" priority="2" operator="containsText" text="not_returned"/>
  </x:conditionalFormatting>
  <x:pageMargins left="0.7" right="0.7" top="0.75" bottom="0.75" header="0.3" footer="0.3"/>
  <x:tableParts count="1">
    <x:tablePart xmlns:r="http://schemas.openxmlformats.org/officeDocument/2006/relationships" r:id="Rf04fecdbc5cb411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21" hidden="0" customWidth="1"/>
    <x:col min="3" max="3" width="13" hidden="0" customWidth="1"/>
    <x:col min="4" max="4" width="38" hidden="0" customWidth="1"/>
    <x:col min="5" max="5" width="30" hidden="0" customWidth="1"/>
    <x:col min="6" max="6" width="20" hidden="0" customWidth="1"/>
    <x:col min="7" max="7" width="14" hidden="0" customWidth="1"/>
    <x:col min="8" max="8" width="75" hidden="0" customWidth="1"/>
    <x:col min="9" max="9" width="24" hidden="0" customWidth="1"/>
    <x:col min="10" max="10" width="17" hidden="0" customWidth="1"/>
    <x:col min="11" max="11" width="20" hidden="0" customWidth="1"/>
    <x:col min="12" max="12" width="20" hidden="0" customWidth="1"/>
    <x:col min="13" max="13" width="25" hidden="0" customWidth="1"/>
    <x:col min="14" max="14" width="55" hidden="0" customWidth="1"/>
  </x:cols>
  <x:sheetData>
    <x:row r="1" ht="34" customHeight="1">
      <x:c r="A1" s="3" t="str">
        <x:v>SETUP SAHLA / EVIDENCE REGISTRY</x:v>
      </x:c>
      <x:c r="B1" s="3" t="str">
        <x:v>SETUP SAHLA / EVIDENCE REGISTRY</x:v>
      </x:c>
      <x:c r="C1" s="3" t="str">
        <x:v>SETUP SAHLA / EVIDENCE REGISTRY</x:v>
      </x:c>
      <x:c r="D1" s="3" t="str">
        <x:v>SETUP SAHLA / EVIDENCE REGISTRY</x:v>
      </x:c>
      <x:c r="E1" s="3" t="str">
        <x:v>SETUP SAHLA / EVIDENCE REGISTRY</x:v>
      </x:c>
      <x:c r="F1" s="3" t="str">
        <x:v>SETUP SAHLA / EVIDENCE REGISTRY</x:v>
      </x:c>
      <x:c r="G1" s="3" t="str">
        <x:v>SETUP SAHLA / EVIDENCE REGISTRY</x:v>
      </x:c>
      <x:c r="H1" s="3" t="str">
        <x:v>SETUP SAHLA / EVIDENCE REGISTRY</x:v>
      </x:c>
      <x:c r="I1" s="3" t="str">
        <x:v>SETUP SAHLA / EVIDENCE REGISTRY</x:v>
      </x:c>
      <x:c r="J1" s="3" t="str">
        <x:v>SETUP SAHLA / EVIDENCE REGISTRY</x:v>
      </x:c>
      <x:c r="K1" s="3" t="str">
        <x:v>SETUP SAHLA / EVIDENCE REGISTRY</x:v>
      </x:c>
      <x:c r="L1" s="3" t="str">
        <x:v>SETUP SAHLA / EVIDENCE REGISTRY</x:v>
      </x:c>
      <x:c r="M1" s="3" t="str">
        <x:v>SETUP SAHLA / EVIDENCE REGISTRY</x:v>
      </x:c>
      <x:c r="N1" s="3" t="str">
        <x:v>SETUP SAHLA / EVIDENCE REGISTRY</x:v>
      </x:c>
    </x:row>
    <x:row r="2" ht="28" customHeight="1">
      <x:c r="A2" s="7" t="str">
        <x:v>Canonical claim and research evidence. Every factual, commercial, compatibility, price, trend, or comparative statement should trace to an evidence ID and source URL.</x:v>
      </x:c>
      <x:c r="B2" s="7" t="str">
        <x:v>Canonical claim and research evidence. Every factual, commercial, compatibility, price, trend, or comparative statement should trace to an evidence ID and source URL.</x:v>
      </x:c>
      <x:c r="C2" s="7" t="str">
        <x:v>Canonical claim and research evidence. Every factual, commercial, compatibility, price, trend, or comparative statement should trace to an evidence ID and source URL.</x:v>
      </x:c>
      <x:c r="D2" s="7" t="str">
        <x:v>Canonical claim and research evidence. Every factual, commercial, compatibility, price, trend, or comparative statement should trace to an evidence ID and source URL.</x:v>
      </x:c>
      <x:c r="E2" s="7" t="str">
        <x:v>Canonical claim and research evidence. Every factual, commercial, compatibility, price, trend, or comparative statement should trace to an evidence ID and source URL.</x:v>
      </x:c>
      <x:c r="F2" s="7" t="str">
        <x:v>Canonical claim and research evidence. Every factual, commercial, compatibility, price, trend, or comparative statement should trace to an evidence ID and source URL.</x:v>
      </x:c>
      <x:c r="G2" s="7" t="str">
        <x:v>Canonical claim and research evidence. Every factual, commercial, compatibility, price, trend, or comparative statement should trace to an evidence ID and source URL.</x:v>
      </x:c>
      <x:c r="H2" s="7" t="str">
        <x:v>Canonical claim and research evidence. Every factual, commercial, compatibility, price, trend, or comparative statement should trace to an evidence ID and source URL.</x:v>
      </x:c>
      <x:c r="I2" s="7" t="str">
        <x:v>Canonical claim and research evidence. Every factual, commercial, compatibility, price, trend, or comparative statement should trace to an evidence ID and source URL.</x:v>
      </x:c>
      <x:c r="J2" s="7" t="str">
        <x:v>Canonical claim and research evidence. Every factual, commercial, compatibility, price, trend, or comparative statement should trace to an evidence ID and source URL.</x:v>
      </x:c>
      <x:c r="K2" s="7" t="str">
        <x:v>Canonical claim and research evidence. Every factual, commercial, compatibility, price, trend, or comparative statement should trace to an evidence ID and source URL.</x:v>
      </x:c>
      <x:c r="L2" s="7" t="str">
        <x:v>Canonical claim and research evidence. Every factual, commercial, compatibility, price, trend, or comparative statement should trace to an evidence ID and source URL.</x:v>
      </x:c>
      <x:c r="M2" s="7" t="str">
        <x:v>Canonical claim and research evidence. Every factual, commercial, compatibility, price, trend, or comparative statement should trace to an evidence ID and source URL.</x:v>
      </x:c>
      <x:c r="N2" s="7" t="str">
        <x:v>Canonical claim and research evidence. Every factual, commercial, compatibility, price, trend, or comparative statement should trace to an evidence ID and source URL.</x:v>
      </x:c>
    </x:row>
    <x:row r="3" ht="9" customHeight="1"/>
    <x:row r="5" ht="34" customHeight="1">
      <x:c r="A5" s="15" t="str">
        <x:v>Evidence ID</x:v>
      </x:c>
      <x:c r="B5" s="16" t="str">
        <x:v>Type</x:v>
      </x:c>
      <x:c r="C5" s="16" t="str">
        <x:v>Market</x:v>
      </x:c>
      <x:c r="D5" s="16" t="str">
        <x:v>Query / item</x:v>
      </x:c>
      <x:c r="E5" s="16" t="str">
        <x:v>Metric</x:v>
      </x:c>
      <x:c r="F5" s="16" t="str">
        <x:v>Value</x:v>
      </x:c>
      <x:c r="G5" s="16" t="str">
        <x:v>Unit</x:v>
      </x:c>
      <x:c r="H5" s="16" t="str">
        <x:v>Observation</x:v>
      </x:c>
      <x:c r="I5" s="16" t="str">
        <x:v>Source</x:v>
      </x:c>
      <x:c r="J5" s="16" t="str">
        <x:v>Source URL</x:v>
      </x:c>
      <x:c r="K5" s="16" t="str">
        <x:v>Captured UTC</x:v>
      </x:c>
      <x:c r="L5" s="16" t="str">
        <x:v>Rights</x:v>
      </x:c>
      <x:c r="M5" s="16" t="str">
        <x:v>Used by</x:v>
      </x:c>
      <x:c r="N5" s="17" t="str">
        <x:v>Notes</x:v>
      </x:c>
    </x:row>
    <x:row r="6" ht="52" customHeight="1">
      <x:c r="A6" s="25" t="str">
        <x:v>PP-E001</x:v>
      </x:c>
      <x:c r="B6" s="25" t="str">
        <x:v>manufacturer_spec</x:v>
      </x:c>
      <x:c r="C6" s="25" t="str">
        <x:v>Global</x:v>
      </x:c>
      <x:c r="D6" s="25" t="str">
        <x:v>Anker 332 USB-C Hub A8355</x:v>
      </x:c>
      <x:c r="E6" s="25" t="str">
        <x:v>manufacturer_specification</x:v>
      </x:c>
      <x:c r="F6" s="25" t="str">
        <x:v>verified</x:v>
      </x:c>
      <x:c r="G6" s="25" t="str">
        <x:v>status</x:v>
      </x:c>
      <x:c r="H6" s="25" t="str">
        <x:v>Anker identifies model A8355 as a 5-in-1 hub with HDMI up to 4K@30Hz, two USB-A 5Gbps ports, one USB-C 5Gbps data port, and 100W PD input with up to 85W output to the laptop.</x:v>
      </x:c>
      <x:c r="I6" s="25" t="str">
        <x:v>Anker</x:v>
      </x:c>
      <x:c r="J6" s="46" t="str">
        <x:v>https://www.anker.com/products/a8355</x:v>
      </x:c>
      <x:c r="K6" s="43" t="n">
        <x:v>46217.99585648148</x:v>
      </x:c>
      <x:c r="L6" s="25" t="str">
        <x:v>SOURCE_LINK_ONLY</x:v>
      </x:c>
      <x:c r="M6" s="25" t="str">
        <x:v>PP-C01</x:v>
      </x:c>
      <x:c r="N6" s="25" t="str">
        <x:v>Charger is not included; source copy lists compatible USB-C laptop families. No source imagery is cleared for reuse.</x:v>
      </x:c>
    </x:row>
    <x:row r="7" ht="52" customHeight="1">
      <x:c r="A7" s="26" t="str">
        <x:v>PP-E002</x:v>
      </x:c>
      <x:c r="B7" s="26" t="str">
        <x:v>retailer_offer</x:v>
      </x:c>
      <x:c r="C7" s="26" t="str">
        <x:v>Egypt</x:v>
      </x:c>
      <x:c r="D7" s="26" t="str">
        <x:v>Anker 332 USB-C Hub A8355H11</x:v>
      </x:c>
      <x:c r="E7" s="26" t="str">
        <x:v>retailer_price_snapshot</x:v>
      </x:c>
      <x:c r="F7" s="26" t="str">
        <x:v>1999</x:v>
      </x:c>
      <x:c r="G7" s="26" t="str">
        <x:v>EGP</x:v>
      </x:c>
      <x:c r="H7" s="26" t="str">
        <x:v>Noon exact-model listing showed EGP 1,999, only 5 left, noon-express fulfillment, and seller Dokkan Tech.</x:v>
      </x:c>
      <x:c r="I7" s="26" t="str">
        <x:v>Noon Egypt</x:v>
      </x:c>
      <x:c r="J7" s="47" t="str">
        <x:v>https://www.noon.com/egypt-en/anker-332-usb-c-hub-5-in-1-usb-c-connector-with-4k-hdmi-100w-power-charger-black-a8355h11/N70086896V/p/</x:v>
      </x:c>
      <x:c r="K7" s="44" t="n">
        <x:v>46217.99585648148</x:v>
      </x:c>
      <x:c r="L7" s="26" t="str">
        <x:v>SOURCE_LINK_ONLY</x:v>
      </x:c>
      <x:c r="M7" s="26" t="str">
        <x:v>PP-C01</x:v>
      </x:c>
      <x:c r="N7" s="26" t="str">
        <x:v>Unstable price, seller, fulfillment, and stock observation; recheck before publication.</x:v>
      </x:c>
    </x:row>
    <x:row r="8" ht="52" customHeight="1">
      <x:c r="A8" s="26" t="str">
        <x:v>PP-E007</x:v>
      </x:c>
      <x:c r="B8" s="26" t="str">
        <x:v>manufacturer_spec</x:v>
      </x:c>
      <x:c r="C8" s="26" t="str">
        <x:v>Türkiye</x:v>
      </x:c>
      <x:c r="D8" s="26" t="str">
        <x:v>UGREEN Foldable Laptop Stand LP451 / 40289</x:v>
      </x:c>
      <x:c r="E8" s="26" t="str">
        <x:v>manufacturer_specification</x:v>
      </x:c>
      <x:c r="F8" s="26" t="str">
        <x:v>verified</x:v>
      </x:c>
      <x:c r="G8" s="26" t="str">
        <x:v>status</x:v>
      </x:c>
      <x:c r="H8" s="26" t="str">
        <x:v>UGREEN lists model 40289 for 8-17.3-inch laptops, five height levels, up to 5 kg load, foldability, and a hollow ventilation design.</x:v>
      </x:c>
      <x:c r="I8" s="26" t="str">
        <x:v>UGREEN Türkiye</x:v>
      </x:c>
      <x:c r="J8" s="47" t="str">
        <x:v>https://www.ugreen.com/tr-tr/products/tr-40289</x:v>
      </x:c>
      <x:c r="K8" s="44" t="n">
        <x:v>46217.99585648148</x:v>
      </x:c>
      <x:c r="L8" s="26" t="str">
        <x:v>SOURCE_LINK_ONLY</x:v>
      </x:c>
      <x:c r="M8" s="26" t="str">
        <x:v>PP-C04</x:v>
      </x:c>
      <x:c r="N8" s="26" t="str">
        <x:v>Official regional brand page. No source imagery is cleared for reuse.</x:v>
      </x:c>
    </x:row>
    <x:row r="9" ht="52" customHeight="1">
      <x:c r="A9" s="26" t="str">
        <x:v>PP-E008</x:v>
      </x:c>
      <x:c r="B9" s="26" t="str">
        <x:v>retailer_offer</x:v>
      </x:c>
      <x:c r="C9" s="26" t="str">
        <x:v>Egypt</x:v>
      </x:c>
      <x:c r="D9" s="26" t="str">
        <x:v>UGREEN Laptop Stand 40289</x:v>
      </x:c>
      <x:c r="E9" s="26" t="str">
        <x:v>retailer_price_snapshot</x:v>
      </x:c>
      <x:c r="F9" s="26" t="str">
        <x:v>945.60</x:v>
      </x:c>
      <x:c r="G9" s="26" t="str">
        <x:v>EGP</x:v>
      </x:c>
      <x:c r="H9" s="26" t="str">
        <x:v>Noon exact-model listing showed EGP 945.60, add-to-cart availability, noon-express fulfillment, and seller wusool; the latest render did not expose a numeric stock count.</x:v>
      </x:c>
      <x:c r="I9" s="26" t="str">
        <x:v>Noon Egypt</x:v>
      </x:c>
      <x:c r="J9" s="47" t="str">
        <x:v>https://www.noon.com/egypt-en/laptop-stand-aluminum-alloy-adjustable-eye-level-ergonomic-height-laptop-riser-holder-compatible-for-macbook-pro-2021-air-chromebook-and-more-storage-bag-included/N53340883A/p/</x:v>
      </x:c>
      <x:c r="K9" s="44" t="n">
        <x:v>46217.99585648148</x:v>
      </x:c>
      <x:c r="L9" s="26" t="str">
        <x:v>SOURCE_LINK_ONLY</x:v>
      </x:c>
      <x:c r="M9" s="26" t="str">
        <x:v>PP-C04</x:v>
      </x:c>
      <x:c r="N9" s="26" t="str">
        <x:v>Unstable price, seller, fulfillment, and availability observation; recheck before publication.</x:v>
      </x:c>
    </x:row>
    <x:row r="10" ht="52" customHeight="1">
      <x:c r="A10" s="26" t="str">
        <x:v>PP-E017</x:v>
      </x:c>
      <x:c r="B10" s="26" t="str">
        <x:v>manufacturer_spec</x:v>
      </x:c>
      <x:c r="C10" s="26" t="str">
        <x:v>Global</x:v>
      </x:c>
      <x:c r="D10" s="26" t="str">
        <x:v>JOYROOM JR-ZS368 Magnetic Cable Organizer</x:v>
      </x:c>
      <x:c r="E10" s="26" t="str">
        <x:v>manufacturer_specification</x:v>
      </x:c>
      <x:c r="F10" s="26" t="str">
        <x:v>verified</x:v>
      </x:c>
      <x:c r="G10" s="26" t="str">
        <x:v>status</x:v>
      </x:c>
      <x:c r="H10" s="26" t="str">
        <x:v>JOYROOM identifies model JR-ZS368, includes a six-piece variant, and states applicability to cables below 7.5 mm diameter.</x:v>
      </x:c>
      <x:c r="I10" s="26" t="str">
        <x:v>JOYROOM</x:v>
      </x:c>
      <x:c r="J10" s="47" t="str">
        <x:v>https://www.joyroom.com/products/joyroom-jr-zs368-magnetic-cable-organizer-9pcs-b2c</x:v>
      </x:c>
      <x:c r="K10" s="44" t="n">
        <x:v>46217.99585648148</x:v>
      </x:c>
      <x:c r="L10" s="26" t="str">
        <x:v>SOURCE_LINK_ONLY</x:v>
      </x:c>
      <x:c r="M10" s="26" t="str">
        <x:v>PP-C09</x:v>
      </x:c>
      <x:c r="N10" s="26" t="str">
        <x:v>Manufacturer page URL names the nine-piece variant but its variant selector/specification content includes six pieces. No imagery cleared for reuse.</x:v>
      </x:c>
    </x:row>
    <x:row r="11" ht="52" customHeight="1">
      <x:c r="A11" s="26" t="str">
        <x:v>PP-E018</x:v>
      </x:c>
      <x:c r="B11" s="26" t="str">
        <x:v>retailer_offer</x:v>
      </x:c>
      <x:c r="C11" s="26" t="str">
        <x:v>Egypt</x:v>
      </x:c>
      <x:c r="D11" s="26" t="str">
        <x:v>JOYROOM JR-ZS368 6 pcs</x:v>
      </x:c>
      <x:c r="E11" s="26" t="str">
        <x:v>retailer_price_snapshot</x:v>
      </x:c>
      <x:c r="F11" s="26" t="str">
        <x:v>950.81</x:v>
      </x:c>
      <x:c r="G11" s="26" t="str">
        <x:v>EGP</x:v>
      </x:c>
      <x:c r="H11" s="26" t="str">
        <x:v>Noon exact-model six-piece listing showed EGP 950.81, only 2 left, seller attention store, and noon-express fulfillment.</x:v>
      </x:c>
      <x:c r="I11" s="26" t="str">
        <x:v>Noon Egypt</x:v>
      </x:c>
      <x:c r="J11" s="47" t="str">
        <x:v>https://www.noon.com/egypt-en/joyroom-cable-organiser-jr-zs368-magnetic-black-6-pcs/ZDB64AB2F8DE78C016649Z/p/?o=zdb64ab2f8de78c016649z-1</x:v>
      </x:c>
      <x:c r="K11" s="44" t="n">
        <x:v>46217.99585648148</x:v>
      </x:c>
      <x:c r="L11" s="26" t="str">
        <x:v>SOURCE_LINK_ONLY</x:v>
      </x:c>
      <x:c r="M11" s="26" t="str">
        <x:v>PP-C09</x:v>
      </x:c>
      <x:c r="N11" s="26" t="str">
        <x:v>Unstable price, seller, fulfillment, and stock observation. Price appears high for the category and must be rechecked before promotion.</x:v>
      </x:c>
    </x:row>
    <x:row r="12" ht="52" customHeight="1">
      <x:c r="A12" s="26" t="str">
        <x:v>PP-E019</x:v>
      </x:c>
      <x:c r="B12" s="26" t="str">
        <x:v>manufacturer_spec</x:v>
      </x:c>
      <x:c r="C12" s="26" t="str">
        <x:v>United States</x:v>
      </x:c>
      <x:c r="D12" s="26" t="str">
        <x:v>Logitech Signature M650 910-006253</x:v>
      </x:c>
      <x:c r="E12" s="26" t="str">
        <x:v>manufacturer_specification</x:v>
      </x:c>
      <x:c r="F12" s="26" t="str">
        <x:v>verified</x:v>
      </x:c>
      <x:c r="G12" s="26" t="str">
        <x:v>status</x:v>
      </x:c>
      <x:c r="H12" s="26" t="str">
        <x:v>Logitech lists Signature M650 with Bluetooth Low Energy and Logi Bolt connectivity, 200-4000 DPI sensor range, and a right-handed small-to-medium hand-size option.</x:v>
      </x:c>
      <x:c r="I12" s="26" t="str">
        <x:v>Logitech</x:v>
      </x:c>
      <x:c r="J12" s="47" t="str">
        <x:v>https://www.logitech.com/en-us/products/mice/m650-signature-wireless-mouse.html</x:v>
      </x:c>
      <x:c r="K12" s="44" t="n">
        <x:v>46217.99585648148</x:v>
      </x:c>
      <x:c r="L12" s="26" t="str">
        <x:v>SOURCE_LINK_ONLY</x:v>
      </x:c>
      <x:c r="M12" s="26" t="str">
        <x:v>PP-C10</x:v>
      </x:c>
      <x:c r="N12" s="26" t="str">
        <x:v>Manufacturer specification controls over the retailer title's 400-DPI wording. Confirm graphite small/medium part number at checkout.</x:v>
      </x:c>
    </x:row>
    <x:row r="13" ht="52" customHeight="1">
      <x:c r="A13" s="26" t="str">
        <x:v>PP-E020</x:v>
      </x:c>
      <x:c r="B13" s="26" t="str">
        <x:v>retailer_offer</x:v>
      </x:c>
      <x:c r="C13" s="26" t="str">
        <x:v>Egypt</x:v>
      </x:c>
      <x:c r="D13" s="26" t="str">
        <x:v>Logitech Signature M650 910-006253</x:v>
      </x:c>
      <x:c r="E13" s="26" t="str">
        <x:v>retailer_price_snapshot</x:v>
      </x:c>
      <x:c r="F13" s="26" t="str">
        <x:v>1749</x:v>
      </x:c>
      <x:c r="G13" s="26" t="str">
        <x:v>EGP</x:v>
      </x:c>
      <x:c r="H13" s="26" t="str">
        <x:v>Noon exact-model listing showed EGP 1,749, add-to-cart availability, seller Dokkan Tech, and noon-express fulfillment; no explicit stock quantity was visible.</x:v>
      </x:c>
      <x:c r="I13" s="26" t="str">
        <x:v>Noon Egypt</x:v>
      </x:c>
      <x:c r="J13" s="47" t="str">
        <x:v>https://www.noon.com/egypt-en/signature-m650-wireless-mouse-for-small-to-medium-sized-hands-silent-clicks-5-buttons-bluetooth-multi-device-compatibility-400-dpi-nominal-value-10m-range-black/N53285882A/p/</x:v>
      </x:c>
      <x:c r="K13" s="44" t="n">
        <x:v>46217.99585648148</x:v>
      </x:c>
      <x:c r="L13" s="26" t="str">
        <x:v>SOURCE_LINK_ONLY</x:v>
      </x:c>
      <x:c r="M13" s="26" t="str">
        <x:v>PP-C10</x:v>
      </x:c>
      <x:c r="N13" s="26" t="str">
        <x:v>Unstable price, seller, fulfillment, and availability observation. Retailer DPI wording conflicts with manufacturer specification.</x:v>
      </x:c>
    </x:row>
    <x:row r="14" ht="52" customHeight="1">
      <x:c r="A14" s="26" t="str">
        <x:v>PP-E027</x:v>
      </x:c>
      <x:c r="B14" s="26" t="str">
        <x:v>retailer_offer</x:v>
      </x:c>
      <x:c r="C14" s="26" t="str">
        <x:v>Egypt</x:v>
      </x:c>
      <x:c r="D14" s="26" t="str">
        <x:v>Anker 332 USB-C Hub A8355 family</x:v>
      </x:c>
      <x:c r="E14" s="26" t="str">
        <x:v>retailer_price_snapshot</x:v>
      </x:c>
      <x:c r="F14" s="26" t="str">
        <x:v>1539</x:v>
      </x:c>
      <x:c r="G14" s="26" t="str">
        <x:v>EGP</x:v>
      </x:c>
      <x:c r="H14" s="26" t="str">
        <x:v>Amazon Egypt exact Anker 332 product page showed EGP 1,539, in-stock status, Amazon.eg as seller and shipper, free returns, and 15-day returnability.</x:v>
      </x:c>
      <x:c r="I14" s="26" t="str">
        <x:v>Amazon Egypt</x:v>
      </x:c>
      <x:c r="J14" s="47" t="str">
        <x:v>https://www.amazon.eg/-/en/dp/B0BQLLB61B</x:v>
      </x:c>
      <x:c r="K14" s="44" t="n">
        <x:v>46218.01388888889</x:v>
      </x:c>
      <x:c r="L14" s="26" t="str">
        <x:v>SOURCE_LINK_ONLY</x:v>
      </x:c>
      <x:c r="M14" s="26" t="str">
        <x:v>PP-C01</x:v>
      </x:c>
      <x:c r="N14" s="26" t="str">
        <x:v>Exact named product family and configuration; price, stock, returns, seller, and fulfillment are unstable and must be rechecked.</x:v>
      </x:c>
    </x:row>
    <x:row r="15" ht="52" customHeight="1">
      <x:c r="A15" s="26" t="str">
        <x:v>PP-E028</x:v>
      </x:c>
      <x:c r="B15" s="26" t="str">
        <x:v>manufacturer_safety</x:v>
      </x:c>
      <x:c r="C15" s="26" t="str">
        <x:v>Global</x:v>
      </x:c>
      <x:c r="D15" s="26" t="str">
        <x:v>Anker 332 USB-C Hub A8355</x:v>
      </x:c>
      <x:c r="E15" s="26" t="str">
        <x:v>power_and_compatibility_gate</x:v>
      </x:c>
      <x:c r="F15" s="26" t="str">
        <x:v>qualified</x:v>
      </x:c>
      <x:c r="G15" s="26" t="str">
        <x:v>status</x:v>
      </x:c>
      <x:c r="H15" s="26" t="str">
        <x:v>Anker specifies a 100W PD input with up to 85W passed to the laptop, states that a charger is not included, and limits video output to compatible USB-C hosts.</x:v>
      </x:c>
      <x:c r="I15" s="26" t="str">
        <x:v>Anker</x:v>
      </x:c>
      <x:c r="J15" s="47" t="str">
        <x:v>https://www.anker.com/products/a8355</x:v>
      </x:c>
      <x:c r="K15" s="44" t="n">
        <x:v>46218.01388888889</x:v>
      </x:c>
      <x:c r="L15" s="26" t="str">
        <x:v>SOURCE_LINK_ONLY</x:v>
      </x:c>
      <x:c r="M15" s="26" t="str">
        <x:v>PP-C01</x:v>
      </x:c>
      <x:c r="N15" s="26" t="str">
        <x:v>Safety disposition: the hub is not a mains adapter; use a compliant PD charger and cable and reject hosts without the required USB-C video support.</x:v>
      </x:c>
    </x:row>
    <x:row r="16" ht="52" customHeight="1">
      <x:c r="A16" s="26" t="str">
        <x:v>PP-E029</x:v>
      </x:c>
      <x:c r="B16" s="26" t="str">
        <x:v>retailer_offer</x:v>
      </x:c>
      <x:c r="C16" s="26" t="str">
        <x:v>Egypt</x:v>
      </x:c>
      <x:c r="D16" s="26" t="str">
        <x:v>UGREEN Foldable Laptop Stand 40289</x:v>
      </x:c>
      <x:c r="E16" s="26" t="str">
        <x:v>retailer_price_snapshot</x:v>
      </x:c>
      <x:c r="F16" s="26" t="str">
        <x:v>666</x:v>
      </x:c>
      <x:c r="G16" s="26" t="str">
        <x:v>EGP</x:v>
      </x:c>
      <x:c r="H16" s="26" t="str">
        <x:v>Amazon Egypt exact product page showed EGP 666, in-stock status, Amazon.eg as seller and shipper, and free returns.</x:v>
      </x:c>
      <x:c r="I16" s="26" t="str">
        <x:v>Amazon Egypt</x:v>
      </x:c>
      <x:c r="J16" s="47" t="str">
        <x:v>https://www.amazon.eg/-/en/dp/B08TLVKBMJ</x:v>
      </x:c>
      <x:c r="K16" s="44" t="n">
        <x:v>46218.01527777778</x:v>
      </x:c>
      <x:c r="L16" s="26" t="str">
        <x:v>SOURCE_LINK_ONLY</x:v>
      </x:c>
      <x:c r="M16" s="26" t="str">
        <x:v>PP-C04</x:v>
      </x:c>
      <x:c r="N16" s="26" t="str">
        <x:v>The product title names the exact UGREEN foldable stand; manufacturer model mapping establishes 40289. Recheck price and stock.</x:v>
      </x:c>
    </x:row>
    <x:row r="17" ht="52" customHeight="1">
      <x:c r="A17" s="26" t="str">
        <x:v>PP-E030</x:v>
      </x:c>
      <x:c r="B17" s="26" t="str">
        <x:v>retailer_offer</x:v>
      </x:c>
      <x:c r="C17" s="26" t="str">
        <x:v>Egypt</x:v>
      </x:c>
      <x:c r="D17" s="26" t="str">
        <x:v>JOYROOM JR-ZS368 six-piece black</x:v>
      </x:c>
      <x:c r="E17" s="26" t="str">
        <x:v>retailer_price_snapshot</x:v>
      </x:c>
      <x:c r="F17" s="26" t="str">
        <x:v>279</x:v>
      </x:c>
      <x:c r="G17" s="26" t="str">
        <x:v>EGP</x:v>
      </x:c>
      <x:c r="H17" s="26" t="str">
        <x:v>Amazon Egypt exact product page showed EGP 279, one unit left, seller Basics EG, and free returns; the shipping party was not exposed in the captured buybox.</x:v>
      </x:c>
      <x:c r="I17" s="26" t="str">
        <x:v>Amazon Egypt</x:v>
      </x:c>
      <x:c r="J17" s="47" t="str">
        <x:v>https://www.amazon.eg/-/en/dp/B0DJH1W2N4</x:v>
      </x:c>
      <x:c r="K17" s="44" t="n">
        <x:v>46218.01875</x:v>
      </x:c>
      <x:c r="L17" s="26" t="str">
        <x:v>SOURCE_LINK_ONLY</x:v>
      </x:c>
      <x:c r="M17" s="26" t="str">
        <x:v>PP-C09</x:v>
      </x:c>
      <x:c r="N17" s="26" t="str">
        <x:v>Exact title and six-piece variant. Fulfillment remains unclear; recheck stock, seller, and delivery before promotion.</x:v>
      </x:c>
    </x:row>
    <x:row r="18" ht="52" customHeight="1">
      <x:c r="A18" s="26" t="str">
        <x:v>PP-E031</x:v>
      </x:c>
      <x:c r="B18" s="26" t="str">
        <x:v>retailer_offer</x:v>
      </x:c>
      <x:c r="C18" s="26" t="str">
        <x:v>Egypt</x:v>
      </x:c>
      <x:c r="D18" s="26" t="str">
        <x:v>Logitech Signature M650 small-medium graphite</x:v>
      </x:c>
      <x:c r="E18" s="26" t="str">
        <x:v>retailer_price_snapshot</x:v>
      </x:c>
      <x:c r="F18" s="26" t="str">
        <x:v>1799</x:v>
      </x:c>
      <x:c r="G18" s="26" t="str">
        <x:v>EGP</x:v>
      </x:c>
      <x:c r="H18" s="26" t="str">
        <x:v>Amazon Egypt product page showed the Signature M650 small-to-medium graphite variant at EGP 1,799, only four left, sold by Dokkan Tech, with free returns; the regional part number was not printed in the title.</x:v>
      </x:c>
      <x:c r="I18" s="26" t="str">
        <x:v>Amazon Egypt</x:v>
      </x:c>
      <x:c r="J18" s="47" t="str">
        <x:v>https://www.amazon.eg/-/en/dp/B09QWY7JYK</x:v>
      </x:c>
      <x:c r="K18" s="44" t="n">
        <x:v>46218.020833333336</x:v>
      </x:c>
      <x:c r="L18" s="26" t="str">
        <x:v>SOURCE_LINK_ONLY</x:v>
      </x:c>
      <x:c r="M18" s="26" t="str">
        <x:v>PP-C10</x:v>
      </x:c>
      <x:c r="N18" s="26" t="str">
        <x:v>Variant identity matches model, size, hand orientation, and color; compare by named variant because the Amazon page does not expose Noon regional part number 910-006253.</x:v>
      </x:c>
    </x:row>
    <x:row r="19" ht="52" customHeight="1">
      <x:c r="A19" s="26" t="str">
        <x:v>PP-E032</x:v>
      </x:c>
      <x:c r="B19" s="26" t="str">
        <x:v>manufacturer_spec</x:v>
      </x:c>
      <x:c r="C19" s="26" t="str">
        <x:v>Global</x:v>
      </x:c>
      <x:c r="D19" s="26" t="str">
        <x:v>Havit HV-F2069 Laptop Cooling Pad</x:v>
      </x:c>
      <x:c r="E19" s="26" t="str">
        <x:v>manufacturer_specification</x:v>
      </x:c>
      <x:c r="F19" s="26" t="str">
        <x:v>verified</x:v>
      </x:c>
      <x:c r="G19" s="26" t="str">
        <x:v>status</x:v>
      </x:c>
      <x:c r="H19" s="26" t="str">
        <x:v>Havit's official online product page identifies HV-F2069 with four fans, dual USB ports, speed control, two height settings, and compatibility with 15.6–17.3-inch laptops; Type-C hosts need an adapter.</x:v>
      </x:c>
      <x:c r="I19" s="26" t="str">
        <x:v>Havit Online</x:v>
      </x:c>
      <x:c r="J19" s="47" t="str">
        <x:v>https://www.prohavit.com/zh-hans-jp/products/hv-f2069-laptop-cooling-pad-for-up-to-17-inch-laptop</x:v>
      </x:c>
      <x:c r="K19" s="44" t="n">
        <x:v>46218.01736111111</x:v>
      </x:c>
      <x:c r="L19" s="26" t="str">
        <x:v>SOURCE_LINK_ONLY</x:v>
      </x:c>
      <x:c r="M19" s="26" t="str">
        <x:v>PP-C15</x:v>
      </x:c>
      <x:c r="N19" s="26" t="str">
        <x:v>The manufacturer store marks the product no longer available there; the page remains valid identity/specification evidence but creates a refresh risk.</x:v>
      </x:c>
    </x:row>
    <x:row r="20" ht="52" customHeight="1">
      <x:c r="A20" s="26" t="str">
        <x:v>PP-E033</x:v>
      </x:c>
      <x:c r="B20" s="26" t="str">
        <x:v>retailer_offer</x:v>
      </x:c>
      <x:c r="C20" s="26" t="str">
        <x:v>Egypt</x:v>
      </x:c>
      <x:c r="D20" s="26" t="str">
        <x:v>Havit F2069 Gaming Laptop Cooling Pad</x:v>
      </x:c>
      <x:c r="E20" s="26" t="str">
        <x:v>retailer_price_snapshot</x:v>
      </x:c>
      <x:c r="F20" s="26" t="str">
        <x:v>1035</x:v>
      </x:c>
      <x:c r="G20" s="26" t="str">
        <x:v>EGP</x:v>
      </x:c>
      <x:c r="H20" s="26" t="str">
        <x:v>Amazon Egypt exact product page showed EGP 1,035, in-stock status, Amazon.eg as seller and shipper, and free returns.</x:v>
      </x:c>
      <x:c r="I20" s="26" t="str">
        <x:v>Amazon Egypt</x:v>
      </x:c>
      <x:c r="J20" s="47" t="str">
        <x:v>https://www.amazon.eg/-/en/dp/B0CP198X1G</x:v>
      </x:c>
      <x:c r="K20" s="44" t="n">
        <x:v>46218.01736111111</x:v>
      </x:c>
      <x:c r="L20" s="26" t="str">
        <x:v>SOURCE_LINK_ONLY</x:v>
      </x:c>
      <x:c r="M20" s="26" t="str">
        <x:v>PP-C15</x:v>
      </x:c>
      <x:c r="N20" s="26" t="str">
        <x:v>Exact model title. Recheck price, stock, seller, and fulfillment before promotion.</x:v>
      </x:c>
    </x:row>
    <x:row r="21" ht="52" customHeight="1">
      <x:c r="A21" s="26" t="str">
        <x:v>PP-E034</x:v>
      </x:c>
      <x:c r="B21" s="26" t="str">
        <x:v>retailer_offer</x:v>
      </x:c>
      <x:c r="C21" s="26" t="str">
        <x:v>Egypt</x:v>
      </x:c>
      <x:c r="D21" s="26" t="str">
        <x:v>Havit F2069 RGB cooling pad</x:v>
      </x:c>
      <x:c r="E21" s="26" t="str">
        <x:v>retailer_price_snapshot</x:v>
      </x:c>
      <x:c r="F21" s="26" t="str">
        <x:v>1040</x:v>
      </x:c>
      <x:c r="G21" s="26" t="str">
        <x:v>EGP</x:v>
      </x:c>
      <x:c r="H21" s="26" t="str">
        <x:v>Noon Egypt exact F2069 listing showed EGP 1,040, a visible 4.5 rating from 13 ratings, free delivery, and noon-express fulfillment.</x:v>
      </x:c>
      <x:c r="I21" s="26" t="str">
        <x:v>Noon Egypt</x:v>
      </x:c>
      <x:c r="J21" s="47" t="str">
        <x:v>https://www.noon.com/egypt-en/f2069-rgb-light-10-clock-mode-cooling-pad-cool-for-laptop-low-noise-fan-cooler-with-cell-phone-holder/N70023962V/p/</x:v>
      </x:c>
      <x:c r="K21" s="44" t="n">
        <x:v>46218.01736111111</x:v>
      </x:c>
      <x:c r="L21" s="26" t="str">
        <x:v>SOURCE_LINK_ONLY</x:v>
      </x:c>
      <x:c r="M21" s="26" t="str">
        <x:v>PP-C15</x:v>
      </x:c>
      <x:c r="N21" s="26" t="str">
        <x:v>The seller name was not retained and must be rechecked. Rating and price are volatile observations, not quality guarantees.</x:v>
      </x:c>
    </x:row>
    <x:row r="22" ht="52" customHeight="1">
      <x:c r="A22" s="26" t="str">
        <x:v>PP-E035</x:v>
      </x:c>
      <x:c r="B22" s="26" t="str">
        <x:v>manufacturer_safety</x:v>
      </x:c>
      <x:c r="C22" s="26" t="str">
        <x:v>Global</x:v>
      </x:c>
      <x:c r="D22" s="26" t="str">
        <x:v>Havit HV-F2069 USB power</x:v>
      </x:c>
      <x:c r="E22" s="26" t="str">
        <x:v>power_and_compatibility_gate</x:v>
      </x:c>
      <x:c r="F22" s="26" t="str">
        <x:v>qualified</x:v>
      </x:c>
      <x:c r="G22" s="26" t="str">
        <x:v>status</x:v>
      </x:c>
      <x:c r="H22" s="26" t="str">
        <x:v>The Havit product page describes dual USB operation, one connection for power, and the need for a Type-C-to-USB adapter when applicable.</x:v>
      </x:c>
      <x:c r="I22" s="26" t="str">
        <x:v>Havit Online</x:v>
      </x:c>
      <x:c r="J22" s="47" t="str">
        <x:v>https://www.prohavit.com/zh-hans-jp/products/hv-f2069-laptop-cooling-pad-for-up-to-17-inch-laptop</x:v>
      </x:c>
      <x:c r="K22" s="44" t="n">
        <x:v>46218.01736111111</x:v>
      </x:c>
      <x:c r="L22" s="26" t="str">
        <x:v>SOURCE_LINK_ONLY</x:v>
      </x:c>
      <x:c r="M22" s="26" t="str">
        <x:v>PP-C15</x:v>
      </x:c>
      <x:c r="N22" s="26" t="str">
        <x:v>Safety disposition: this is a host-USB-powered accessory; do not present it as an internal laptop repair.</x:v>
      </x:c>
    </x:row>
    <x:row r="23" ht="52" customHeight="1">
      <x:c r="A23" s="26" t="str">
        <x:v>SEO-KW-001</x:v>
      </x:c>
      <x:c r="B23" s="26" t="str">
        <x:v>keyword_proxy</x:v>
      </x:c>
      <x:c r="C23" s="26" t="str">
        <x:v>EG</x:v>
      </x:c>
      <x:c r="D23" s="26" t="str">
        <x:v>usb c hub</x:v>
      </x:c>
      <x:c r="E23" s="26" t="str">
        <x:v>google_autocomplete_presence</x:v>
      </x:c>
      <x:c r="F23" s="26" t="str">
        <x:v>returned</x:v>
      </x:c>
      <x:c r="G23" s="26" t="str">
        <x:v>qualitative</x:v>
      </x:c>
      <x:c r="H23" s="26" t="str">
        <x:v>The Egypt-localized Google suggestion response returned the exact query.</x:v>
      </x:c>
      <x:c r="I23" s="26" t="str">
        <x:v>Google Autocomplete Egypt</x:v>
      </x:c>
      <x:c r="J23" s="47" t="str">
        <x:v>https://suggestqueries.google.com/complete/search?client=firefox&amp;hl=en&amp;gl=eg&amp;q=usb%20c%20hub</x:v>
      </x:c>
      <x:c r="K23" s="44" t="n">
        <x:v>46217.994571759256</x:v>
      </x:c>
      <x:c r="L23" s="26" t="str">
        <x:v>SOURCE_LINK_ONLY</x:v>
      </x:c>
      <x:c r="M23" s="26" t="str">
        <x:v>/products/usb-c-hub/</x:v>
      </x:c>
      <x:c r="N23" s="26" t="str">
        <x:v>Autocomplete presence is not volume or trend direction.</x:v>
      </x:c>
    </x:row>
    <x:row r="24" ht="52" customHeight="1">
      <x:c r="A24" s="26" t="str">
        <x:v>SEO-KW-007</x:v>
      </x:c>
      <x:c r="B24" s="26" t="str">
        <x:v>keyword_proxy</x:v>
      </x:c>
      <x:c r="C24" s="26" t="str">
        <x:v>EG</x:v>
      </x:c>
      <x:c r="D24" s="26" t="str">
        <x:v>laptop stand</x:v>
      </x:c>
      <x:c r="E24" s="26" t="str">
        <x:v>google_autocomplete_presence</x:v>
      </x:c>
      <x:c r="F24" s="26" t="str">
        <x:v>returned</x:v>
      </x:c>
      <x:c r="G24" s="26" t="str">
        <x:v>qualitative</x:v>
      </x:c>
      <x:c r="H24" s="26" t="str">
        <x:v>The Egypt-localized Google suggestion response returned the exact query.</x:v>
      </x:c>
      <x:c r="I24" s="26" t="str">
        <x:v>Google Autocomplete Egypt</x:v>
      </x:c>
      <x:c r="J24" s="47" t="str">
        <x:v>https://suggestqueries.google.com/complete/search?client=firefox&amp;hl=en&amp;gl=eg&amp;q=laptop%20stand</x:v>
      </x:c>
      <x:c r="K24" s="44" t="n">
        <x:v>46217.994571759256</x:v>
      </x:c>
      <x:c r="L24" s="26" t="str">
        <x:v>SOURCE_LINK_ONLY</x:v>
      </x:c>
      <x:c r="M24" s="26" t="str">
        <x:v>/products/laptop-stand/</x:v>
      </x:c>
      <x:c r="N24" s="26" t="str">
        <x:v>Autocomplete presence is not volume or trend direction.</x:v>
      </x:c>
    </x:row>
    <x:row r="25" ht="52" customHeight="1">
      <x:c r="A25" s="26" t="str">
        <x:v>SEO-KW-013</x:v>
      </x:c>
      <x:c r="B25" s="26" t="str">
        <x:v>keyword_proxy</x:v>
      </x:c>
      <x:c r="C25" s="26" t="str">
        <x:v>EG</x:v>
      </x:c>
      <x:c r="D25" s="26" t="str">
        <x:v>laptop cooling pad</x:v>
      </x:c>
      <x:c r="E25" s="26" t="str">
        <x:v>google_autocomplete_presence</x:v>
      </x:c>
      <x:c r="F25" s="26" t="str">
        <x:v>returned</x:v>
      </x:c>
      <x:c r="G25" s="26" t="str">
        <x:v>qualitative</x:v>
      </x:c>
      <x:c r="H25" s="26" t="str">
        <x:v>The Egypt-localized Google suggestion response returned the exact query.</x:v>
      </x:c>
      <x:c r="I25" s="26" t="str">
        <x:v>Google Autocomplete Egypt</x:v>
      </x:c>
      <x:c r="J25" s="47" t="str">
        <x:v>https://suggestqueries.google.com/complete/search?client=firefox&amp;hl=en&amp;gl=eg&amp;q=laptop%20cooling%20pad</x:v>
      </x:c>
      <x:c r="K25" s="44" t="n">
        <x:v>46217.994571759256</x:v>
      </x:c>
      <x:c r="L25" s="26" t="str">
        <x:v>SOURCE_LINK_ONLY</x:v>
      </x:c>
      <x:c r="M25" s="26" t="str">
        <x:v>/products/laptop-cooling-pad/</x:v>
      </x:c>
      <x:c r="N25" s="26" t="str">
        <x:v>Autocomplete presence is not volume or trend direction.</x:v>
      </x:c>
    </x:row>
    <x:row r="26" ht="52" customHeight="1">
      <x:c r="A26" s="26" t="str">
        <x:v>SEO-KW-019</x:v>
      </x:c>
      <x:c r="B26" s="26" t="str">
        <x:v>keyword_proxy</x:v>
      </x:c>
      <x:c r="C26" s="26" t="str">
        <x:v>EG</x:v>
      </x:c>
      <x:c r="D26" s="26" t="str">
        <x:v>cable management desk</x:v>
      </x:c>
      <x:c r="E26" s="26" t="str">
        <x:v>google_autocomplete_presence</x:v>
      </x:c>
      <x:c r="F26" s="26" t="str">
        <x:v>returned</x:v>
      </x:c>
      <x:c r="G26" s="26" t="str">
        <x:v>qualitative</x:v>
      </x:c>
      <x:c r="H26" s="26" t="str">
        <x:v>The Egypt-localized Google suggestion response returned the exact query.</x:v>
      </x:c>
      <x:c r="I26" s="26" t="str">
        <x:v>Google Autocomplete Egypt</x:v>
      </x:c>
      <x:c r="J26" s="47" t="str">
        <x:v>https://suggestqueries.google.com/complete/search?client=firefox&amp;hl=en&amp;gl=eg&amp;q=cable%20management%20desk</x:v>
      </x:c>
      <x:c r="K26" s="44" t="n">
        <x:v>46217.994571759256</x:v>
      </x:c>
      <x:c r="L26" s="26" t="str">
        <x:v>SOURCE_LINK_ONLY</x:v>
      </x:c>
      <x:c r="M26" s="26" t="str">
        <x:v>/products/desk-cable-management/</x:v>
      </x:c>
      <x:c r="N26" s="26" t="str">
        <x:v>Autocomplete presence is not volume or trend direction.</x:v>
      </x:c>
    </x:row>
    <x:row r="27" ht="52" customHeight="1">
      <x:c r="A27" s="26" t="str">
        <x:v>SEO-KW-025</x:v>
      </x:c>
      <x:c r="B27" s="26" t="str">
        <x:v>keyword_proxy</x:v>
      </x:c>
      <x:c r="C27" s="26" t="str">
        <x:v>EG</x:v>
      </x:c>
      <x:c r="D27" s="26" t="str">
        <x:v>ergonomic mouse</x:v>
      </x:c>
      <x:c r="E27" s="26" t="str">
        <x:v>google_autocomplete_presence</x:v>
      </x:c>
      <x:c r="F27" s="26" t="str">
        <x:v>returned</x:v>
      </x:c>
      <x:c r="G27" s="26" t="str">
        <x:v>qualitative</x:v>
      </x:c>
      <x:c r="H27" s="26" t="str">
        <x:v>The Egypt-localized Google suggestion response returned the exact query.</x:v>
      </x:c>
      <x:c r="I27" s="26" t="str">
        <x:v>Google Autocomplete Egypt</x:v>
      </x:c>
      <x:c r="J27" s="47" t="str">
        <x:v>https://suggestqueries.google.com/complete/search?client=firefox&amp;hl=en&amp;gl=eg&amp;q=ergonomic%20mouse</x:v>
      </x:c>
      <x:c r="K27" s="44" t="n">
        <x:v>46217.994571759256</x:v>
      </x:c>
      <x:c r="L27" s="26" t="str">
        <x:v>SOURCE_LINK_ONLY</x:v>
      </x:c>
      <x:c r="M27" s="26" t="str">
        <x:v>/products/ergonomic-mouse/</x:v>
      </x:c>
      <x:c r="N27" s="26" t="str">
        <x:v>Autocomplete presence is not volume or trend direction.</x:v>
      </x:c>
    </x:row>
    <x:row r="28" ht="52" customHeight="1">
      <x:c r="A28" s="26" t="str">
        <x:v>AFF-001</x:v>
      </x:c>
      <x:c r="B28" s="26" t="str">
        <x:v>affiliate_program</x:v>
      </x:c>
      <x:c r="C28" s="26" t="str">
        <x:v>Egypt</x:v>
      </x:c>
      <x:c r="D28" s="26" t="str">
        <x:v>Amazon Egypt Associates eligibility</x:v>
      </x:c>
      <x:c r="E28" s="26" t="str">
        <x:v>official_program_status</x:v>
      </x:c>
      <x:c r="F28" s="26" t="str">
        <x:v>available</x:v>
      </x:c>
      <x:c r="G28" s="26" t="str">
        <x:v>status</x:v>
      </x:c>
      <x:c r="H28" s="26" t="str">
        <x:v>Amazon Egypt publishes a local Associates enrollment page for eligible bloggers, publishers, and creators with a qualifying website or app.</x:v>
      </x:c>
      <x:c r="I28" s="26" t="str">
        <x:v>Amazon Egypt Associates</x:v>
      </x:c>
      <x:c r="J28" s="47" t="str">
        <x:v>https://affiliate-program.amazon.eg/welcome</x:v>
      </x:c>
      <x:c r="K28" s="44" t="n">
        <x:v>46217.99239583333</x:v>
      </x:c>
      <x:c r="L28" s="26" t="str">
        <x:v>SOURCE_LINK_ONLY</x:v>
      </x:c>
      <x:c r="M28" s="26" t="str">
        <x:v>affiliate_activation</x:v>
      </x:c>
      <x:c r="N28" s="26" t="str">
        <x:v>Owner must still apply and receive approval; the build cannot create the account.</x:v>
      </x:c>
    </x:row>
    <x:row r="29" ht="52" customHeight="1">
      <x:c r="A29" s="26" t="str">
        <x:v>AFF-002</x:v>
      </x:c>
      <x:c r="B29" s="26" t="str">
        <x:v>affiliate_program</x:v>
      </x:c>
      <x:c r="C29" s="26" t="str">
        <x:v>Egypt</x:v>
      </x:c>
      <x:c r="D29" s="26" t="str">
        <x:v>Amazon Egypt special links</x:v>
      </x:c>
      <x:c r="E29" s="26" t="str">
        <x:v>tracking_requirement</x:v>
      </x:c>
      <x:c r="F29" s="26" t="str">
        <x:v>tagged_special_link</x:v>
      </x:c>
      <x:c r="G29" s="26" t="str">
        <x:v>requirement</x:v>
      </x:c>
      <x:c r="H29" s="26" t="str">
        <x:v>The Amazon Egypt operating agreement requires properly formatted special tagged links supplied by the program for commission tracking.</x:v>
      </x:c>
      <x:c r="I29" s="26" t="str">
        <x:v>Amazon Egypt Associates Operating Agreement</x:v>
      </x:c>
      <x:c r="J29" s="47" t="str">
        <x:v>https://affiliate-program.amazon.eg/help/operating/agreement</x:v>
      </x:c>
      <x:c r="K29" s="44" t="n">
        <x:v>46217.99239583333</x:v>
      </x:c>
      <x:c r="L29" s="26" t="str">
        <x:v>SOURCE_LINK_ONLY</x:v>
      </x:c>
      <x:c r="M29" s="26" t="str">
        <x:v>affiliate_activation</x:v>
      </x:c>
      <x:c r="N29" s="26" t="str">
        <x:v>Direct Amazon URLs are not commission-ready until the owner's approved tag is applied through program tools.</x:v>
      </x:c>
    </x:row>
    <x:row r="30" ht="52" customHeight="1">
      <x:c r="A30" s="26" t="str">
        <x:v>AFF-003</x:v>
      </x:c>
      <x:c r="B30" s="26" t="str">
        <x:v>content_rights</x:v>
      </x:c>
      <x:c r="C30" s="26" t="str">
        <x:v>Egypt</x:v>
      </x:c>
      <x:c r="D30" s="26" t="str">
        <x:v>Amazon Egypt Program Content</x:v>
      </x:c>
      <x:c r="E30" s="26" t="str">
        <x:v>content_source</x:v>
      </x:c>
      <x:c r="F30" s="26" t="str">
        <x:v>program_supplied_only</x:v>
      </x:c>
      <x:c r="G30" s="26" t="str">
        <x:v>requirement</x:v>
      </x:c>
      <x:c r="H30" s="26" t="str">
        <x:v>Amazon distinguishes program-supplied product data images text link formats tools and APIs from other content; the site should not scrape listing imagery or treat ordinary page assets as licensed program content.</x:v>
      </x:c>
      <x:c r="I30" s="26" t="str">
        <x:v>Amazon Egypt Associates Program Policies</x:v>
      </x:c>
      <x:c r="J30" s="47" t="str">
        <x:v>https://affiliate-program.amazon.eg/help/operating/policies/</x:v>
      </x:c>
      <x:c r="K30" s="44" t="n">
        <x:v>46217.99239583333</x:v>
      </x:c>
      <x:c r="L30" s="26" t="str">
        <x:v>SOURCE_LINK_ONLY</x:v>
      </x:c>
      <x:c r="M30" s="26" t="str">
        <x:v>image_policy</x:v>
      </x:c>
      <x:c r="N30" s="26" t="str">
        <x:v>Use original site visuals now; replace only with permitted Program Content after approval and policy review.</x:v>
      </x:c>
    </x:row>
    <x:row r="31" ht="52" customHeight="1">
      <x:c r="A31" s="26" t="str">
        <x:v>AFF-004</x:v>
      </x:c>
      <x:c r="B31" s="26" t="str">
        <x:v>affiliate_program</x:v>
      </x:c>
      <x:c r="C31" s="26" t="str">
        <x:v>MENA</x:v>
      </x:c>
      <x:c r="D31" s="26" t="str">
        <x:v>noon Associate territory</x:v>
      </x:c>
      <x:c r="E31" s="26" t="str">
        <x:v>official_territory</x:v>
      </x:c>
      <x:c r="F31" s="26" t="str">
        <x:v>UAE|KSA</x:v>
      </x:c>
      <x:c r="G31" s="26" t="str">
        <x:v>territories</x:v>
      </x:c>
      <x:c r="H31" s="26" t="str">
        <x:v>The current public noon Associate Marketing terms define the program territory as the UAE and Saudi Arabia; Egypt is not included in that definition.</x:v>
      </x:c>
      <x:c r="I31" s="26" t="str">
        <x:v>noon Associate Marketing Terms</x:v>
      </x:c>
      <x:c r="J31" s="47" t="str">
        <x:v>https://affiliates.noon.com/en/terms</x:v>
      </x:c>
      <x:c r="K31" s="44" t="n">
        <x:v>46217.99239583333</x:v>
      </x:c>
      <x:c r="L31" s="26" t="str">
        <x:v>SOURCE_LINK_ONLY</x:v>
      </x:c>
      <x:c r="M31" s="26" t="str">
        <x:v>affiliate_activation</x:v>
      </x:c>
      <x:c r="N31" s="26" t="str">
        <x:v>Treat noon Egypt links as direct retailer links and mark Egypt affiliate eligibility as owner verification required; do not promise noon Egypt commissions.</x:v>
      </x:c>
    </x:row>
    <x:row r="32" ht="52" customHeight="1">
      <x:c r="A32" s="26" t="str">
        <x:v>AFF-005</x:v>
      </x:c>
      <x:c r="B32" s="26" t="str">
        <x:v>content_rights</x:v>
      </x:c>
      <x:c r="C32" s="26" t="str">
        <x:v>MENA</x:v>
      </x:c>
      <x:c r="D32" s="26" t="str">
        <x:v>noon Program Content and scraping</x:v>
      </x:c>
      <x:c r="E32" s="26" t="str">
        <x:v>content_source</x:v>
      </x:c>
      <x:c r="F32" s="26" t="str">
        <x:v>program_supplied_only</x:v>
      </x:c>
      <x:c r="G32" s="26" t="str">
        <x:v>requirement</x:v>
      </x:c>
      <x:c r="H32" s="26" t="str">
        <x:v>noon may provide program content to approved associates and expressly prohibits automated scraping of its site.</x:v>
      </x:c>
      <x:c r="I32" s="26" t="str">
        <x:v>noon Associate Marketing Terms</x:v>
      </x:c>
      <x:c r="J32" s="47" t="str">
        <x:v>https://affiliates.noon.com/en/terms</x:v>
      </x:c>
      <x:c r="K32" s="44" t="n">
        <x:v>46217.99239583333</x:v>
      </x:c>
      <x:c r="L32" s="26" t="str">
        <x:v>SOURCE_LINK_ONLY</x:v>
      </x:c>
      <x:c r="M32" s="26" t="str">
        <x:v>image_policy</x:v>
      </x:c>
      <x:c r="N32" s="26" t="str">
        <x:v>Do not scrape or redistribute noon Egypt listing images; keep source links and use original visuals.</x:v>
      </x:c>
    </x:row>
    <x:row r="33" ht="52" customHeight="1">
      <x:c r="A33" s="26" t="str">
        <x:v>AFF-006</x:v>
      </x:c>
      <x:c r="B33" s="26" t="str">
        <x:v>retailer_availability</x:v>
      </x:c>
      <x:c r="C33" s="26" t="str">
        <x:v>Egypt</x:v>
      </x:c>
      <x:c r="D33" s="26" t="str">
        <x:v>noon Egypt storefront</x:v>
      </x:c>
      <x:c r="E33" s="26" t="str">
        <x:v>storefront_status</x:v>
      </x:c>
      <x:c r="F33" s="26" t="str">
        <x:v>available</x:v>
      </x:c>
      <x:c r="G33" s="26" t="str">
        <x:v>status</x:v>
      </x:c>
      <x:c r="H33" s="26" t="str">
        <x:v>noon operates an Egypt storefront with current EGP product pages and local support details, independently of whether its public affiliate terms cover Egypt.</x:v>
      </x:c>
      <x:c r="I33" s="26" t="str">
        <x:v>noon Egypt</x:v>
      </x:c>
      <x:c r="J33" s="47" t="str">
        <x:v>https://www.noon.com/egypt-en/</x:v>
      </x:c>
      <x:c r="K33" s="44" t="n">
        <x:v>46217.99239583333</x:v>
      </x:c>
      <x:c r="L33" s="26" t="str">
        <x:v>SOURCE_LINK_ONLY</x:v>
      </x:c>
      <x:c r="M33" s="26" t="str">
        <x:v>provider_selection</x:v>
      </x:c>
      <x:c r="N33" s="26" t="str">
        <x:v>Use for provider comparison and direct outbound links; keep affiliate status direct until program territory is confirmed.</x:v>
      </x:c>
    </x:row>
    <x:row r="34" ht="52" customHeight="1">
      <x:c r="A34" s="26" t="str">
        <x:v>AFF-007</x:v>
      </x:c>
      <x:c r="B34" s="26" t="str">
        <x:v>competitive_content</x:v>
      </x:c>
      <x:c r="C34" s="26" t="str">
        <x:v>Egypt</x:v>
      </x:c>
      <x:c r="D34" s="26" t="str">
        <x:v>AHW Store accessories buying guide</x:v>
      </x:c>
      <x:c r="E34" s="26" t="str">
        <x:v>positioning_pattern</x:v>
      </x:c>
      <x:c r="F34" s="26" t="str">
        <x:v>product_first_store_guide</x:v>
      </x:c>
      <x:c r="G34" s="26" t="str">
        <x:v>observation</x:v>
      </x:c>
      <x:c r="H34" s="26" t="str">
        <x:v>A current Egypt retailer guide targets hubs and desk accessories with price-led best-value labels and direct store CTAs, showing commercial interest but leaving room for an independent problem-first multi-provider methodology with compatibility and skip guidance.</x:v>
      </x:c>
      <x:c r="I34" s="26" t="str">
        <x:v>AHW Store</x:v>
      </x:c>
      <x:c r="J34" s="47" t="str">
        <x:v>https://ahw.store/blogs/buying-guide/accessories-buying-guide-egypt-2025</x:v>
      </x:c>
      <x:c r="K34" s="44" t="n">
        <x:v>46217.99239583333</x:v>
      </x:c>
      <x:c r="L34" s="26" t="str">
        <x:v>SOURCE_LINK_ONLY</x:v>
      </x:c>
      <x:c r="M34" s="26" t="str">
        <x:v>positioning</x:v>
      </x:c>
      <x:c r="N34" s="26" t="str">
        <x:v>Inference is limited to the observable content pattern; no traffic or ranking claim is made.</x:v>
      </x:c>
    </x:row>
    <x:row r="35" ht="52" customHeight="1">
      <x:c r="A35" s="26" t="str">
        <x:v>PP-E003</x:v>
      </x:c>
      <x:c r="B35" s="26" t="str">
        <x:v>manufacturer_spec</x:v>
      </x:c>
      <x:c r="C35" s="26" t="str">
        <x:v>Global</x:v>
      </x:c>
      <x:c r="D35" s="26" t="str">
        <x:v>UGREEN Revodok 105 CM478 / 15495</x:v>
      </x:c>
      <x:c r="E35" s="26" t="str">
        <x:v>manufacturer_specification</x:v>
      </x:c>
      <x:c r="F35" s="26" t="str">
        <x:v>verified</x:v>
      </x:c>
      <x:c r="G35" s="26" t="str">
        <x:v>status</x:v>
      </x:c>
      <x:c r="H35" s="26" t="str">
        <x:v>UGREEN identifies Revodok 105 item 15495 as a 5-in-1 hub with HDMI 4K output, USB-C PD up to 100W, one USB 3.0 port, and two USB 2.0 ports.</x:v>
      </x:c>
      <x:c r="I35" s="26" t="str">
        <x:v>UGREEN</x:v>
      </x:c>
      <x:c r="J35" s="47" t="str">
        <x:v>https://www.ugreen.com/products/usa-15495</x:v>
      </x:c>
      <x:c r="K35" s="44" t="n">
        <x:v>46217.99585648148</x:v>
      </x:c>
      <x:c r="L35" s="26" t="str">
        <x:v>SOURCE_LINK_ONLY</x:v>
      </x:c>
      <x:c r="M35" s="26" t="str">
        <x:v>PP-C02</x:v>
      </x:c>
      <x:c r="N35" s="26" t="str">
        <x:v>Manufacturer configuration controls where retailer title wording is ambiguous. No source imagery is cleared for reuse.</x:v>
      </x:c>
    </x:row>
    <x:row r="36" ht="52" customHeight="1">
      <x:c r="A36" s="26" t="str">
        <x:v>PP-E004</x:v>
      </x:c>
      <x:c r="B36" s="26" t="str">
        <x:v>retailer_offer</x:v>
      </x:c>
      <x:c r="C36" s="26" t="str">
        <x:v>Egypt</x:v>
      </x:c>
      <x:c r="D36" s="26" t="str">
        <x:v>UGREEN Revodok 105 CM478 / 15495</x:v>
      </x:c>
      <x:c r="E36" s="26" t="str">
        <x:v>retailer_price_snapshot</x:v>
      </x:c>
      <x:c r="F36" s="26" t="str">
        <x:v>952.85</x:v>
      </x:c>
      <x:c r="G36" s="26" t="str">
        <x:v>EGP</x:v>
      </x:c>
      <x:c r="H36" s="26" t="str">
        <x:v>Noon listing showed EGP 952.85, add-to-cart availability, 50+ recent sales, noon-express fulfillment, seller wusool, and a one-year warranty.</x:v>
      </x:c>
      <x:c r="I36" s="26" t="str">
        <x:v>Noon Egypt</x:v>
      </x:c>
      <x:c r="J36" s="47" t="str">
        <x:v>https://www.noon.com/egypt-en/usb-c-hub-with-100w-pd-charging-type-c-to-hdmi-4k-at-30hz-adapter-usb-hub-30-5gbps-data-transfer-ports-compatible-for-macbook-pro-air-m3-m2-m1-ipad-pro-m4-iphone-16-15-pro-pro-max-lenovo-dell-hp-space-grey/N53417515A/p/?o=e8554e7ba41c85fa</x:v>
      </x:c>
      <x:c r="K36" s="44" t="n">
        <x:v>46217.99585648148</x:v>
      </x:c>
      <x:c r="L36" s="26" t="str">
        <x:v>SOURCE_LINK_ONLY</x:v>
      </x:c>
      <x:c r="M36" s="26" t="str">
        <x:v>PP-C02</x:v>
      </x:c>
      <x:c r="N36" s="26" t="str">
        <x:v>No explicit stock quantity was visible. Retailer title has ambiguous port-count wording; verify received model CM478 / 15495.</x:v>
      </x:c>
    </x:row>
    <x:row r="37" ht="52" customHeight="1">
      <x:c r="A37" s="26" t="str">
        <x:v>PP-E005</x:v>
      </x:c>
      <x:c r="B37" s="26" t="str">
        <x:v>manufacturer_spec</x:v>
      </x:c>
      <x:c r="C37" s="26" t="str">
        <x:v>Mexico</x:v>
      </x:c>
      <x:c r="D37" s="26" t="str">
        <x:v>Baseus UltraJoy 5-Port Hub BS-OH150</x:v>
      </x:c>
      <x:c r="E37" s="26" t="str">
        <x:v>manufacturer_specification</x:v>
      </x:c>
      <x:c r="F37" s="26" t="str">
        <x:v>verified</x:v>
      </x:c>
      <x:c r="G37" s="26" t="str">
        <x:v>status</x:v>
      </x:c>
      <x:c r="H37" s="26" t="str">
        <x:v>Baseus identifies BS-OH150 as an UltraJoy USB-C hub with HDMI up to 4K@30Hz, three USB 3.0 ports, USB-C PD up to 100W, and Windows, macOS, Linux, and Vista support.</x:v>
      </x:c>
      <x:c r="I37" s="26" t="str">
        <x:v>Baseus Mexico</x:v>
      </x:c>
      <x:c r="J37" s="47" t="str">
        <x:v>https://www.baseus.mx/products/adaptador-usb-c-ultrajoy-de-5-puertos-hub</x:v>
      </x:c>
      <x:c r="K37" s="44" t="n">
        <x:v>46217.99585648148</x:v>
      </x:c>
      <x:c r="L37" s="26" t="str">
        <x:v>SOURCE_LINK_ONLY</x:v>
      </x:c>
      <x:c r="M37" s="26" t="str">
        <x:v>PP-C03</x:v>
      </x:c>
      <x:c r="N37" s="26" t="str">
        <x:v>Regional official brand page used for specification identity. No source imagery is cleared for reuse.</x:v>
      </x:c>
    </x:row>
    <x:row r="38" ht="52" customHeight="1">
      <x:c r="A38" s="26" t="str">
        <x:v>PP-E006</x:v>
      </x:c>
      <x:c r="B38" s="26" t="str">
        <x:v>retailer_offer</x:v>
      </x:c>
      <x:c r="C38" s="26" t="str">
        <x:v>Egypt</x:v>
      </x:c>
      <x:c r="D38" s="26" t="str">
        <x:v>Baseus UltraJoy B00052801811-00</x:v>
      </x:c>
      <x:c r="E38" s="26" t="str">
        <x:v>retailer_price_snapshot</x:v>
      </x:c>
      <x:c r="F38" s="26" t="str">
        <x:v>749</x:v>
      </x:c>
      <x:c r="G38" s="26" t="str">
        <x:v>EGP</x:v>
      </x:c>
      <x:c r="H38" s="26" t="str">
        <x:v>Noon exact-model listing showed EGP 749, only 5 left, seller QDS Egypt, and Marketplace fulfillment.</x:v>
      </x:c>
      <x:c r="I38" s="26" t="str">
        <x:v>Noon Egypt</x:v>
      </x:c>
      <x:c r="J38" s="47" t="str">
        <x:v>https://www.noon.com/egypt-en/baseus-ultrajoy-series-5-port-hub-docking-station-space-grey-type-c-to-hdmi4k-30hz-1-usb-3-0-3-pd-1-grey/N70045731V/p/</x:v>
      </x:c>
      <x:c r="K38" s="44" t="n">
        <x:v>46217.99585648148</x:v>
      </x:c>
      <x:c r="L38" s="26" t="str">
        <x:v>SOURCE_LINK_ONLY</x:v>
      </x:c>
      <x:c r="M38" s="26" t="str">
        <x:v>PP-C03</x:v>
      </x:c>
      <x:c r="N38" s="26" t="str">
        <x:v>Unstable price, seller, fulfillment, and stock observation; recheck before publication.</x:v>
      </x:c>
    </x:row>
    <x:row r="39" ht="52" customHeight="1">
      <x:c r="A39" s="26" t="str">
        <x:v>PP-E009</x:v>
      </x:c>
      <x:c r="B39" s="26" t="str">
        <x:v>manufacturer_spec</x:v>
      </x:c>
      <x:c r="C39" s="26" t="str">
        <x:v>Pakistan</x:v>
      </x:c>
      <x:c r="D39" s="26" t="str">
        <x:v>UGREEN Desktop Laptop Stand LP230 / 80348</x:v>
      </x:c>
      <x:c r="E39" s="26" t="str">
        <x:v>manufacturer_specification</x:v>
      </x:c>
      <x:c r="F39" s="26" t="str">
        <x:v>regional_page</x:v>
      </x:c>
      <x:c r="G39" s="26" t="str">
        <x:v>status</x:v>
      </x:c>
      <x:c r="H39" s="26" t="str">
        <x:v>UGREEN Pakistan identifies model 80348 as an aluminum desktop stand for laptops up to 17 inches with anti-slip contact points and an open airflow design.</x:v>
      </x:c>
      <x:c r="I39" s="26" t="str">
        <x:v>UGREEN Pakistan</x:v>
      </x:c>
      <x:c r="J39" s="47" t="str">
        <x:v>https://ugreen.com.pk/product/ugreen-80348-desktop-laptop-stand-silver/</x:v>
      </x:c>
      <x:c r="K39" s="44" t="n">
        <x:v>46217.99585648148</x:v>
      </x:c>
      <x:c r="L39" s="26" t="str">
        <x:v>SOURCE_LINK_ONLY</x:v>
      </x:c>
      <x:c r="M39" s="26" t="str">
        <x:v>PP-C05</x:v>
      </x:c>
      <x:c r="N39" s="26" t="str">
        <x:v>Regional distributor/brand page needs revalidation against a global UGREEN source before customer-facing specification copy.</x:v>
      </x:c>
    </x:row>
    <x:row r="40" ht="52" customHeight="1">
      <x:c r="A40" s="26" t="str">
        <x:v>PP-E010</x:v>
      </x:c>
      <x:c r="B40" s="26" t="str">
        <x:v>retailer_offer</x:v>
      </x:c>
      <x:c r="C40" s="26" t="str">
        <x:v>Egypt</x:v>
      </x:c>
      <x:c r="D40" s="26" t="str">
        <x:v>UGREEN Laptop Stand 80348</x:v>
      </x:c>
      <x:c r="E40" s="26" t="str">
        <x:v>retailer_price_snapshot</x:v>
      </x:c>
      <x:c r="F40" s="26" t="str">
        <x:v>499.95</x:v>
      </x:c>
      <x:c r="G40" s="26" t="str">
        <x:v>EGP</x:v>
      </x:c>
      <x:c r="H40" s="26" t="str">
        <x:v>Noon exact-model listing showed EGP 499.95, only 2 left, and noon-express fulfillment; seller name was not retained in the captured render.</x:v>
      </x:c>
      <x:c r="I40" s="26" t="str">
        <x:v>Noon Egypt</x:v>
      </x:c>
      <x:c r="J40" s="47" t="str">
        <x:v>https://www.noon.com/egypt-en/laptop-stand-adjustable-foldable-lightweight-laptop-desk-stand-for-with-cooling-vented-for-all-11-17-laptop-macbook-pro-2021-macbook-air-thinkpad-matebook-etc-silver/N41896502A/p/</x:v>
      </x:c>
      <x:c r="K40" s="44" t="n">
        <x:v>46217.99585648148</x:v>
      </x:c>
      <x:c r="L40" s="26" t="str">
        <x:v>SOURCE_LINK_ONLY</x:v>
      </x:c>
      <x:c r="M40" s="26" t="str">
        <x:v>PP-C05</x:v>
      </x:c>
      <x:c r="N40" s="26" t="str">
        <x:v>Unstable price, fulfillment, and stock observation; recheck seller and warranty before publication.</x:v>
      </x:c>
    </x:row>
    <x:row r="41" ht="52" customHeight="1">
      <x:c r="A41" s="26" t="str">
        <x:v>PP-E011</x:v>
      </x:c>
      <x:c r="B41" s="26" t="str">
        <x:v>manufacturer_spec</x:v>
      </x:c>
      <x:c r="C41" s="26" t="str">
        <x:v>European Union</x:v>
      </x:c>
      <x:c r="D41" s="26" t="str">
        <x:v>UGREEN Adjustable Vertical Laptop Stand 20471</x:v>
      </x:c>
      <x:c r="E41" s="26" t="str">
        <x:v>manufacturer_specification</x:v>
      </x:c>
      <x:c r="F41" s="26" t="str">
        <x:v>verified</x:v>
      </x:c>
      <x:c r="G41" s="26" t="str">
        <x:v>status</x:v>
      </x:c>
      <x:c r="H41" s="26" t="str">
        <x:v>UGREEN identifies model 20471 as an adjustable vertical stand with a 0.5-1-inch slot width, aluminum body, silicone contact surfaces, and selected-device compatibility extending to 17.3 inches.</x:v>
      </x:c>
      <x:c r="I41" s="26" t="str">
        <x:v>UGREEN Europe</x:v>
      </x:c>
      <x:c r="J41" s="47" t="str">
        <x:v>https://eu.ugreen.com/en-pl/products/ugreen-adjustable-vertical-laptop-stand</x:v>
      </x:c>
      <x:c r="K41" s="44" t="n">
        <x:v>46217.99585648148</x:v>
      </x:c>
      <x:c r="L41" s="26" t="str">
        <x:v>SOURCE_LINK_ONLY</x:v>
      </x:c>
      <x:c r="M41" s="26" t="str">
        <x:v>PP-C06</x:v>
      </x:c>
      <x:c r="N41" s="26" t="str">
        <x:v>Official regional brand page. Verify laptop thickness rather than relying on screen diagonal alone.</x:v>
      </x:c>
    </x:row>
    <x:row r="42" ht="52" customHeight="1">
      <x:c r="A42" s="26" t="str">
        <x:v>PP-E012</x:v>
      </x:c>
      <x:c r="B42" s="26" t="str">
        <x:v>retailer_offer</x:v>
      </x:c>
      <x:c r="C42" s="26" t="str">
        <x:v>Egypt</x:v>
      </x:c>
      <x:c r="D42" s="26" t="str">
        <x:v>UGREEN Vertical Laptop Stand 20471</x:v>
      </x:c>
      <x:c r="E42" s="26" t="str">
        <x:v>retailer_price_snapshot</x:v>
      </x:c>
      <x:c r="F42" s="26" t="str">
        <x:v>2290</x:v>
      </x:c>
      <x:c r="G42" s="26" t="str">
        <x:v>EGP</x:v>
      </x:c>
      <x:c r="H42" s="26" t="str">
        <x:v>Noon exact-model listing showed EGP 2,290, only 2 left, and Marketplace fulfillment; retailer compatibility wording says under 15.6 inches.</x:v>
      </x:c>
      <x:c r="I42" s="26" t="str">
        <x:v>Noon Egypt</x:v>
      </x:c>
      <x:c r="J42" s="47" t="str">
        <x:v>https://www.noon.com/egypt-en/aluminum-vertical-laptop-and-double-desktop-stand-holder-with-adjustable-dock-space-saving-anti-slide-silicone-grips/N53423221A/p/</x:v>
      </x:c>
      <x:c r="K42" s="44" t="n">
        <x:v>46217.99585648148</x:v>
      </x:c>
      <x:c r="L42" s="26" t="str">
        <x:v>SOURCE_LINK_ONLY</x:v>
      </x:c>
      <x:c r="M42" s="26" t="str">
        <x:v>PP-C06</x:v>
      </x:c>
      <x:c r="N42" s="26" t="str">
        <x:v>Unstable price and stock observation. Retailer size wording conflicts with the manufacturer page; enforce a thickness/fit check.</x:v>
      </x:c>
    </x:row>
    <x:row r="43" ht="52" customHeight="1">
      <x:c r="A43" s="26" t="str">
        <x:v>PP-E013</x:v>
      </x:c>
      <x:c r="B43" s="26" t="str">
        <x:v>manufacturer_spec</x:v>
      </x:c>
      <x:c r="C43" s="26" t="str">
        <x:v>Global</x:v>
      </x:c>
      <x:c r="D43" s="26" t="str">
        <x:v>DeepCool U PAL DP-N214A5_UPAL</x:v>
      </x:c>
      <x:c r="E43" s="26" t="str">
        <x:v>manufacturer_specification</x:v>
      </x:c>
      <x:c r="F43" s="26" t="str">
        <x:v>verified</x:v>
      </x:c>
      <x:c r="G43" s="26" t="str">
        <x:v>status</x:v>
      </x:c>
      <x:c r="H43" s="26" t="str">
        <x:v>DeepCool identifies U PAL part DP-N214A5_UPAL with two 140 mm fans, 1000±10% RPM, 26.3 dB(A), 5V input, and 390 x 280 x 27.5 mm dimensions.</x:v>
      </x:c>
      <x:c r="I43" s="26" t="str">
        <x:v>DeepCool</x:v>
      </x:c>
      <x:c r="J43" s="47" t="str">
        <x:v>https://global.deepcool.com/products/Cooling/laptopcoolers/2021/11402.shtml</x:v>
      </x:c>
      <x:c r="K43" s="44" t="n">
        <x:v>46217.99585648148</x:v>
      </x:c>
      <x:c r="L43" s="26" t="str">
        <x:v>SOURCE_LINK_ONLY</x:v>
      </x:c>
      <x:c r="M43" s="26" t="str">
        <x:v>PP-C07</x:v>
      </x:c>
      <x:c r="N43" s="26" t="str">
        <x:v>Official manufacturer specification page. No source imagery is cleared for reuse.</x:v>
      </x:c>
    </x:row>
    <x:row r="44" ht="52" customHeight="1">
      <x:c r="A44" s="26" t="str">
        <x:v>PP-E014</x:v>
      </x:c>
      <x:c r="B44" s="26" t="str">
        <x:v>retailer_offer</x:v>
      </x:c>
      <x:c r="C44" s="26" t="str">
        <x:v>Egypt</x:v>
      </x:c>
      <x:c r="D44" s="26" t="str">
        <x:v>DeepCool U PAL Notebook Cooler</x:v>
      </x:c>
      <x:c r="E44" s="26" t="str">
        <x:v>retailer_price_snapshot</x:v>
      </x:c>
      <x:c r="F44" s="26" t="str">
        <x:v>899</x:v>
      </x:c>
      <x:c r="G44" s="26" t="str">
        <x:v>EGP</x:v>
      </x:c>
      <x:c r="H44" s="26" t="str">
        <x:v>Noon exact-item listing showed EGP 899, only 4 left, noon-express fulfillment, and 15.6-inch compatibility wording; seller name was not retained in the captured evidence.</x:v>
      </x:c>
      <x:c r="I44" s="26" t="str">
        <x:v>Noon Egypt</x:v>
      </x:c>
      <x:c r="J44" s="47" t="str">
        <x:v>https://www.noon.com/egypt-en/u-pal-notebook-laptop-cooler-two-silent-140mm-fans-compatible-with-15-6-inch/Z77938BBCD23D61B47614Z/p/</x:v>
      </x:c>
      <x:c r="K44" s="44" t="n">
        <x:v>46217.99585648148</x:v>
      </x:c>
      <x:c r="L44" s="26" t="str">
        <x:v>SOURCE_LINK_ONLY</x:v>
      </x:c>
      <x:c r="M44" s="26" t="str">
        <x:v>PP-C07</x:v>
      </x:c>
      <x:c r="N44" s="26" t="str">
        <x:v>Unstable price, fulfillment, and stock observation; recheck seller and warranty before publication.</x:v>
      </x:c>
    </x:row>
    <x:row r="45" ht="52" customHeight="1">
      <x:c r="A45" s="26" t="str">
        <x:v>PP-E015</x:v>
      </x:c>
      <x:c r="B45" s="26" t="str">
        <x:v>manufacturer_spec</x:v>
      </x:c>
      <x:c r="C45" s="26" t="str">
        <x:v>Global</x:v>
      </x:c>
      <x:c r="D45" s="26" t="str">
        <x:v>Redragon WINDSEEKER GCP512</x:v>
      </x:c>
      <x:c r="E45" s="26" t="str">
        <x:v>manufacturer_specification</x:v>
      </x:c>
      <x:c r="F45" s="26" t="str">
        <x:v>verified</x:v>
      </x:c>
      <x:c r="G45" s="26" t="str">
        <x:v>status</x:v>
      </x:c>
      <x:c r="H45" s="26" t="str">
        <x:v>Redragon lists GCP512 for 15-17-inch laptops with a 5.9-inch fan, 1800-2400 RPM, 52-58 dB, 5V DC input, up to 2A, and four height settings.</x:v>
      </x:c>
      <x:c r="I45" s="26" t="str">
        <x:v>Redragon</x:v>
      </x:c>
      <x:c r="J45" s="47" t="str">
        <x:v>https://redragonshop.com/products/windseeker-gcp512-laptop-cooling-pad</x:v>
      </x:c>
      <x:c r="K45" s="44" t="n">
        <x:v>46217.99585648148</x:v>
      </x:c>
      <x:c r="L45" s="26" t="str">
        <x:v>SOURCE_LINK_ONLY</x:v>
      </x:c>
      <x:c r="M45" s="26" t="str">
        <x:v>PP-C08</x:v>
      </x:c>
      <x:c r="N45" s="26" t="str">
        <x:v>Official manufacturer page; the stated 52-58 dB range is a material noise caution.</x:v>
      </x:c>
    </x:row>
    <x:row r="46" ht="52" customHeight="1">
      <x:c r="A46" s="26" t="str">
        <x:v>PP-E016</x:v>
      </x:c>
      <x:c r="B46" s="26" t="str">
        <x:v>retailer_offer</x:v>
      </x:c>
      <x:c r="C46" s="26" t="str">
        <x:v>Egypt</x:v>
      </x:c>
      <x:c r="D46" s="26" t="str">
        <x:v>Redragon WINDSEEKER GCP512</x:v>
      </x:c>
      <x:c r="E46" s="26" t="str">
        <x:v>retailer_price_snapshot</x:v>
      </x:c>
      <x:c r="F46" s="26" t="str">
        <x:v>2775</x:v>
      </x:c>
      <x:c r="G46" s="26" t="str">
        <x:v>EGP</x:v>
      </x:c>
      <x:c r="H46" s="26" t="str">
        <x:v>Noon exact-model listing showed EGP 2,775, only 5 left, seller PlanetGate, noon-express fulfillment, and no warranty.</x:v>
      </x:c>
      <x:c r="I46" s="26" t="str">
        <x:v>Noon Egypt</x:v>
      </x:c>
      <x:c r="J46" s="47" t="str">
        <x:v>https://www.noon.com/egypt-en/gcp512-laptop-cooling-pad-with-5-9-fan-rapid-cooling-for-15-17-inch-laptops-variable-speed-control-4-adjustable-heights-rgb-quiet-cooling-pad-with-phone-stand/ZCC2AD59209C077A88AC4Z/p/?o=zcc2ad59209c077a88ac4z-1</x:v>
      </x:c>
      <x:c r="K46" s="44" t="n">
        <x:v>46217.99585648148</x:v>
      </x:c>
      <x:c r="L46" s="26" t="str">
        <x:v>SOURCE_LINK_ONLY</x:v>
      </x:c>
      <x:c r="M46" s="26" t="str">
        <x:v>PP-C08</x:v>
      </x:c>
      <x:c r="N46" s="26" t="str">
        <x:v>Unstable price, seller, fulfillment, stock, and warranty observation; recheck before publication.</x:v>
      </x:c>
    </x:row>
    <x:row r="47" ht="52" customHeight="1">
      <x:c r="A47" s="26" t="str">
        <x:v>PP-E021</x:v>
      </x:c>
      <x:c r="B47" s="26" t="str">
        <x:v>manufacturer_spec</x:v>
      </x:c>
      <x:c r="C47" s="26" t="str">
        <x:v>Saudi Arabia</x:v>
      </x:c>
      <x:c r="D47" s="26" t="str">
        <x:v>Logitech Pebble Keys 2 K380s Arabic 920-011867</x:v>
      </x:c>
      <x:c r="E47" s="26" t="str">
        <x:v>manufacturer_specification</x:v>
      </x:c>
      <x:c r="F47" s="26" t="str">
        <x:v>verified</x:v>
      </x:c>
      <x:c r="G47" s="26" t="str">
        <x:v>status</x:v>
      </x:c>
      <x:c r="H47" s="26" t="str">
        <x:v>Logitech lists Arabic tonal graphite part 920-011867 with Bluetooth Low Energy, Easy-Switch for up to three devices, Logi Bolt compatibility with receiver not included, and support for major desktop and mobile operating systems.</x:v>
      </x:c>
      <x:c r="I47" s="26" t="str">
        <x:v>Logitech Saudi Arabia</x:v>
      </x:c>
      <x:c r="J47" s="47" t="str">
        <x:v>https://www.logitech.com/en-sa/products/keyboards/pebble-keys-2.html</x:v>
      </x:c>
      <x:c r="K47" s="44" t="n">
        <x:v>46217.99585648148</x:v>
      </x:c>
      <x:c r="L47" s="26" t="str">
        <x:v>SOURCE_LINK_ONLY</x:v>
      </x:c>
      <x:c r="M47" s="26" t="str">
        <x:v>PP-C11</x:v>
      </x:c>
      <x:c r="N47" s="26" t="str">
        <x:v>Official regional manufacturer page. Battery-life claims should not be promoted without the manufacturer's usage-condition qualifier.</x:v>
      </x:c>
    </x:row>
    <x:row r="48" ht="52" customHeight="1">
      <x:c r="A48" s="26" t="str">
        <x:v>PP-E022</x:v>
      </x:c>
      <x:c r="B48" s="26" t="str">
        <x:v>retailer_offer</x:v>
      </x:c>
      <x:c r="C48" s="26" t="str">
        <x:v>Egypt</x:v>
      </x:c>
      <x:c r="D48" s="26" t="str">
        <x:v>Logitech Pebble Keys 2 K380s Arabic 920-011867</x:v>
      </x:c>
      <x:c r="E48" s="26" t="str">
        <x:v>retailer_price_snapshot</x:v>
      </x:c>
      <x:c r="F48" s="26" t="str">
        <x:v>2600</x:v>
      </x:c>
      <x:c r="G48" s="26" t="str">
        <x:v>EGP</x:v>
      </x:c>
      <x:c r="H48" s="26" t="str">
        <x:v>Noon exact-part listing showed EGP 2,600, available status, seller SMART LAND, Marketplace fulfillment, one-year warranty, and a non-returnable designation.</x:v>
      </x:c>
      <x:c r="I48" s="26" t="str">
        <x:v>Noon Egypt</x:v>
      </x:c>
      <x:c r="J48" s="47" t="str">
        <x:v>https://www.noon.com/egypt-en/pebble-keys-2-k380s-multi-device-bluetooth-wireless-keyboard-with-customisable-shortcuts-slim-and-portable-easy-switch-for-windows-macos-ipados-android-chrome-os-ara-layout-graphite/N70053866V/p/</x:v>
      </x:c>
      <x:c r="K48" s="44" t="n">
        <x:v>46217.99585648148</x:v>
      </x:c>
      <x:c r="L48" s="26" t="str">
        <x:v>SOURCE_LINK_ONLY</x:v>
      </x:c>
      <x:c r="M48" s="26" t="str">
        <x:v>PP-C11</x:v>
      </x:c>
      <x:c r="N48" s="26" t="str">
        <x:v>Unstable price, seller, availability, fulfillment, warranty, and return-policy observation; recheck immediately before promotion.</x:v>
      </x:c>
    </x:row>
    <x:row r="49" ht="52" customHeight="1">
      <x:c r="A49" s="26" t="str">
        <x:v>PP-E023</x:v>
      </x:c>
      <x:c r="B49" s="26" t="str">
        <x:v>manufacturer_spec</x:v>
      </x:c>
      <x:c r="C49" s="26" t="str">
        <x:v>United Arab Emirates</x:v>
      </x:c>
      <x:c r="D49" s="26" t="str">
        <x:v>Logitech Lift Graphite Right-Handed 910-006473</x:v>
      </x:c>
      <x:c r="E49" s="26" t="str">
        <x:v>manufacturer_specification</x:v>
      </x:c>
      <x:c r="F49" s="26" t="str">
        <x:v>verified</x:v>
      </x:c>
      <x:c r="G49" s="26" t="str">
        <x:v>status</x:v>
      </x:c>
      <x:c r="H49" s="26" t="str">
        <x:v>Logitech lists graphite right-handed part 910-006473, a 57-degree vertical angle, sizing for small-to-medium hands, and Bluetooth Low Energy or Logi Bolt connectivity.</x:v>
      </x:c>
      <x:c r="I49" s="26" t="str">
        <x:v>Logitech United Arab Emirates</x:v>
      </x:c>
      <x:c r="J49" s="47" t="str">
        <x:v>https://www.logitech.com/en-ae/products/mice/lift-vertical-ergonomic-mouse.910-006475.html</x:v>
      </x:c>
      <x:c r="K49" s="44" t="n">
        <x:v>46217.99585648148</x:v>
      </x:c>
      <x:c r="L49" s="26" t="str">
        <x:v>SOURCE_LINK_ONLY</x:v>
      </x:c>
      <x:c r="M49" s="26" t="str">
        <x:v>PP-C12</x:v>
      </x:c>
      <x:c r="N49" s="26" t="str">
        <x:v>The page URL uses another variant SKU but the page variant data lists graphite right-handed 910-006473; verify selected variant at checkout.</x:v>
      </x:c>
    </x:row>
    <x:row r="50" ht="52" customHeight="1">
      <x:c r="A50" s="26" t="str">
        <x:v>PP-E024</x:v>
      </x:c>
      <x:c r="B50" s="26" t="str">
        <x:v>retailer_offer</x:v>
      </x:c>
      <x:c r="C50" s="26" t="str">
        <x:v>Egypt</x:v>
      </x:c>
      <x:c r="D50" s="26" t="str">
        <x:v>Logitech Lift 910-006473</x:v>
      </x:c>
      <x:c r="E50" s="26" t="str">
        <x:v>retailer_price_snapshot</x:v>
      </x:c>
      <x:c r="F50" s="26" t="str">
        <x:v>4199</x:v>
      </x:c>
      <x:c r="G50" s="26" t="str">
        <x:v>EGP</x:v>
      </x:c>
      <x:c r="H50" s="26" t="str">
        <x:v>Noon page showed EGP 4,199, only 2 left, seller Zoka, noon-express fulfillment, and a two-year official-agent warranty; the page also listed multiple Lift part numbers.</x:v>
      </x:c>
      <x:c r="I50" s="26" t="str">
        <x:v>Noon Egypt</x:v>
      </x:c>
      <x:c r="J50" s="47" t="str">
        <x:v>https://www.noon.com/egypt-en/lift-vertical-ergonomic-mouse-wireless-bluetooth-or-logi-bolt-usb-receiver-quiet-clicks-4-buttons-compatible-with-windows-macos-ipados-laptop-pc-black/N53341712A/p/</x:v>
      </x:c>
      <x:c r="K50" s="44" t="n">
        <x:v>46217.99585648148</x:v>
      </x:c>
      <x:c r="L50" s="26" t="str">
        <x:v>SOURCE_LINK_ONLY</x:v>
      </x:c>
      <x:c r="M50" s="26" t="str">
        <x:v>PP-C12</x:v>
      </x:c>
      <x:c r="N50" s="26" t="str">
        <x:v>Unstable price, seller, fulfillment, stock, and warranty observation. Variant co-mingling requires confirmation of graphite right-handed 910-006473 in cart.</x:v>
      </x:c>
    </x:row>
    <x:row r="51" ht="52" customHeight="1">
      <x:c r="A51" s="26" t="str">
        <x:v>PP-E025</x:v>
      </x:c>
      <x:c r="B51" s="26" t="str">
        <x:v>retailer_offer_rejected</x:v>
      </x:c>
      <x:c r="C51" s="26" t="str">
        <x:v>Egypt</x:v>
      </x:c>
      <x:c r="D51" s="26" t="str">
        <x:v>UGREEN-branded cable clips CB-54259</x:v>
      </x:c>
      <x:c r="E51" s="26" t="str">
        <x:v>identity_traceability</x:v>
      </x:c>
      <x:c r="F51" s="26" t="str">
        <x:v>failed</x:v>
      </x:c>
      <x:c r="G51" s="26" t="str">
        <x:v>status</x:v>
      </x:c>
      <x:c r="H51" s="26" t="str">
        <x:v>Noon listing showed EGP 75, add-to-cart availability, seller SpaceShoop, noon-express fulfillment, and retailer-stated model CB-54259 / Cable Organizer-4, but no matching manufacturer model page was verified.</x:v>
      </x:c>
      <x:c r="I51" s="26" t="str">
        <x:v>Noon Egypt</x:v>
      </x:c>
      <x:c r="J51" s="47" t="str">
        <x:v>https://www.noon.com/egypt-en/2-pack-cable-clips-holder-desktop-cable-management-system-cable-organizer-for-power-cords/N52353977A/p/</x:v>
      </x:c>
      <x:c r="K51" s="44" t="n">
        <x:v>46217.99585648148</x:v>
      </x:c>
      <x:c r="L51" s="26" t="str">
        <x:v>SOURCE_LINK_ONLY</x:v>
      </x:c>
      <x:c r="M51" s="26" t="str">
        <x:v>PP-C13</x:v>
      </x:c>
      <x:c r="N51" s="26" t="str">
        <x:v>Rejected because exact manufacturer identity and specifications could not be traced.</x:v>
      </x:c>
    </x:row>
    <x:row r="52" ht="52" customHeight="1">
      <x:c r="A52" s="26" t="str">
        <x:v>PP-E026</x:v>
      </x:c>
      <x:c r="B52" s="26" t="str">
        <x:v>retailer_offer_rejected</x:v>
      </x:c>
      <x:c r="C52" s="26" t="str">
        <x:v>Egypt</x:v>
      </x:c>
      <x:c r="D52" s="26" t="str">
        <x:v>Generic 3m Cable Tidy Kit</x:v>
      </x:c>
      <x:c r="E52" s="26" t="str">
        <x:v>identity_traceability</x:v>
      </x:c>
      <x:c r="F52" s="26" t="str">
        <x:v>failed</x:v>
      </x:c>
      <x:c r="G52" s="26" t="str">
        <x:v>status</x:v>
      </x:c>
      <x:c r="H52" s="26" t="str">
        <x:v>Noon listing showed EGP 761.25, only 5 left, seller SHOPPING BOX, and Marketplace fulfillment, but supplied no stable manufacturer or model identifier.</x:v>
      </x:c>
      <x:c r="I52" s="26" t="str">
        <x:v>Noon Egypt</x:v>
      </x:c>
      <x:c r="J52" s="47" t="str">
        <x:v>https://www.noon.com/egypt-en/3m-cable-tidy-kit-with-clips-for-cord-and-wire-organization-at-home-or-office-wrap-and-hide-cables-easily-without-tools/ZE9778DCE447C3AAE27DAZ/p/</x:v>
      </x:c>
      <x:c r="K52" s="44" t="n">
        <x:v>46217.99585648148</x:v>
      </x:c>
      <x:c r="L52" s="26" t="str">
        <x:v>SOURCE_LINK_ONLY</x:v>
      </x:c>
      <x:c r="M52" s="26" t="str">
        <x:v>PP-C14</x:v>
      </x:c>
      <x:c r="N52" s="26" t="str">
        <x:v>Rejected because a generic no-model listing cannot support exact-item verification or durable evidence linkage.</x:v>
      </x:c>
    </x:row>
    <x:row r="53" ht="52" customHeight="1">
      <x:c r="A53" s="26" t="str">
        <x:v>SEO-KW-002</x:v>
      </x:c>
      <x:c r="B53" s="26" t="str">
        <x:v>keyword_proxy</x:v>
      </x:c>
      <x:c r="C53" s="26" t="str">
        <x:v>EG</x:v>
      </x:c>
      <x:c r="D53" s="26" t="str">
        <x:v>usb c hub with hdmi</x:v>
      </x:c>
      <x:c r="E53" s="26" t="str">
        <x:v>google_autocomplete_presence</x:v>
      </x:c>
      <x:c r="F53" s="26" t="str">
        <x:v>returned</x:v>
      </x:c>
      <x:c r="G53" s="26" t="str">
        <x:v>qualitative</x:v>
      </x:c>
      <x:c r="H53" s="26" t="str">
        <x:v>Returned under the Egypt-localized seed usb c hub.</x:v>
      </x:c>
      <x:c r="I53" s="26" t="str">
        <x:v>Google Autocomplete Egypt</x:v>
      </x:c>
      <x:c r="J53" s="47" t="str">
        <x:v>https://suggestqueries.google.com/complete/search?client=firefox&amp;hl=en&amp;gl=eg&amp;q=usb%20c%20hub</x:v>
      </x:c>
      <x:c r="K53" s="44" t="n">
        <x:v>46217.994571759256</x:v>
      </x:c>
      <x:c r="L53" s="26" t="str">
        <x:v>SOURCE_LINK_ONLY</x:v>
      </x:c>
      <x:c r="M53" s="26" t="str">
        <x:v>/products/usb-c-hub/</x:v>
      </x:c>
      <x:c r="N53" s="26" t="str">
        <x:v>Feature-level commercial proxy only.</x:v>
      </x:c>
    </x:row>
    <x:row r="54" ht="52" customHeight="1">
      <x:c r="A54" s="26" t="str">
        <x:v>SEO-KW-003</x:v>
      </x:c>
      <x:c r="B54" s="26" t="str">
        <x:v>keyword_proxy</x:v>
      </x:c>
      <x:c r="C54" s="26" t="str">
        <x:v>EG</x:v>
      </x:c>
      <x:c r="D54" s="26" t="str">
        <x:v>usb c hub with ethernet</x:v>
      </x:c>
      <x:c r="E54" s="26" t="str">
        <x:v>google_autocomplete_presence</x:v>
      </x:c>
      <x:c r="F54" s="26" t="str">
        <x:v>returned</x:v>
      </x:c>
      <x:c r="G54" s="26" t="str">
        <x:v>qualitative</x:v>
      </x:c>
      <x:c r="H54" s="26" t="str">
        <x:v>Returned under the Egypt-localized seed usb c hub.</x:v>
      </x:c>
      <x:c r="I54" s="26" t="str">
        <x:v>Google Autocomplete Egypt</x:v>
      </x:c>
      <x:c r="J54" s="47" t="str">
        <x:v>https://suggestqueries.google.com/complete/search?client=firefox&amp;hl=en&amp;gl=eg&amp;q=usb%20c%20hub</x:v>
      </x:c>
      <x:c r="K54" s="44" t="n">
        <x:v>46217.994571759256</x:v>
      </x:c>
      <x:c r="L54" s="26" t="str">
        <x:v>SOURCE_LINK_ONLY</x:v>
      </x:c>
      <x:c r="M54" s="26" t="str">
        <x:v>/products/usb-c-hub/</x:v>
      </x:c>
      <x:c r="N54" s="26" t="str">
        <x:v>Feature-level commercial proxy only.</x:v>
      </x:c>
    </x:row>
    <x:row r="55" ht="52" customHeight="1">
      <x:c r="A55" s="26" t="str">
        <x:v>SEO-KW-004</x:v>
      </x:c>
      <x:c r="B55" s="26" t="str">
        <x:v>keyword_proxy</x:v>
      </x:c>
      <x:c r="C55" s="26" t="str">
        <x:v>EG</x:v>
      </x:c>
      <x:c r="D55" s="26" t="str">
        <x:v>usb c hub adapter</x:v>
      </x:c>
      <x:c r="E55" s="26" t="str">
        <x:v>google_autocomplete_presence</x:v>
      </x:c>
      <x:c r="F55" s="26" t="str">
        <x:v>returned</x:v>
      </x:c>
      <x:c r="G55" s="26" t="str">
        <x:v>qualitative</x:v>
      </x:c>
      <x:c r="H55" s="26" t="str">
        <x:v>Returned under the Egypt-localized seed usb c hub.</x:v>
      </x:c>
      <x:c r="I55" s="26" t="str">
        <x:v>Google Autocomplete Egypt</x:v>
      </x:c>
      <x:c r="J55" s="47" t="str">
        <x:v>https://suggestqueries.google.com/complete/search?client=firefox&amp;hl=en&amp;gl=eg&amp;q=usb%20c%20hub</x:v>
      </x:c>
      <x:c r="K55" s="44" t="n">
        <x:v>46217.994571759256</x:v>
      </x:c>
      <x:c r="L55" s="26" t="str">
        <x:v>SOURCE_LINK_ONLY</x:v>
      </x:c>
      <x:c r="M55" s="26" t="str">
        <x:v>/products/usb-c-hub/</x:v>
      </x:c>
      <x:c r="N55" s="26" t="str">
        <x:v>Synonym proxy only.</x:v>
      </x:c>
    </x:row>
    <x:row r="56" ht="52" customHeight="1">
      <x:c r="A56" s="26" t="str">
        <x:v>SEO-KW-005</x:v>
      </x:c>
      <x:c r="B56" s="26" t="str">
        <x:v>keyword_proxy</x:v>
      </x:c>
      <x:c r="C56" s="26" t="str">
        <x:v>EG</x:v>
      </x:c>
      <x:c r="D56" s="26" t="str">
        <x:v>موزع يو اس بي تايب سي</x:v>
      </x:c>
      <x:c r="E56" s="26" t="str">
        <x:v>google_autocomplete_presence</x:v>
      </x:c>
      <x:c r="F56" s="26" t="str">
        <x:v>returned</x:v>
      </x:c>
      <x:c r="G56" s="26" t="str">
        <x:v>qualitative</x:v>
      </x:c>
      <x:c r="H56" s="26" t="str">
        <x:v>Returned under the Egypt-localized Arabic seed موزع يو اس بي.</x:v>
      </x:c>
      <x:c r="I56" s="26" t="str">
        <x:v>Google Autocomplete Egypt Arabic</x:v>
      </x:c>
      <x:c r="J56" s="47" t="str">
        <x:v>https://suggestqueries.google.com/complete/search?client=firefox&amp;hl=ar&amp;gl=eg&amp;q=%D9%85%D9%88%D8%B2%D8%B9%20%D9%8A%D9%88%20%D8%A7%D8%B3%20%D8%A8%D9%8A</x:v>
      </x:c>
      <x:c r="K56" s="44" t="n">
        <x:v>46217.994571759256</x:v>
      </x:c>
      <x:c r="L56" s="26" t="str">
        <x:v>SOURCE_LINK_ONLY</x:v>
      </x:c>
      <x:c r="M56" s="26" t="str">
        <x:v>/products/usb-c-hub/</x:v>
      </x:c>
      <x:c r="N56" s="26" t="str">
        <x:v>Arabic-language proxy only.</x:v>
      </x:c>
    </x:row>
    <x:row r="57" ht="52" customHeight="1">
      <x:c r="A57" s="26" t="str">
        <x:v>SEO-KW-006</x:v>
      </x:c>
      <x:c r="B57" s="26" t="str">
        <x:v>keyword_proxy</x:v>
      </x:c>
      <x:c r="C57" s="26" t="str">
        <x:v>EG</x:v>
      </x:c>
      <x:c r="D57" s="26" t="str">
        <x:v>هاب type c</x:v>
      </x:c>
      <x:c r="E57" s="26" t="str">
        <x:v>google_autocomplete_presence</x:v>
      </x:c>
      <x:c r="F57" s="26" t="str">
        <x:v>returned</x:v>
      </x:c>
      <x:c r="G57" s="26" t="str">
        <x:v>qualitative</x:v>
      </x:c>
      <x:c r="H57" s="26" t="str">
        <x:v>Returned under the Egypt-localized mixed Arabic-English seed هاب type c.</x:v>
      </x:c>
      <x:c r="I57" s="26" t="str">
        <x:v>Google Autocomplete Egypt Arabic</x:v>
      </x:c>
      <x:c r="J57" s="47" t="str">
        <x:v>https://suggestqueries.google.com/complete/search?client=firefox&amp;hl=ar&amp;gl=eg&amp;q=%D9%87%D8%A7%D8%A8%20type%20c</x:v>
      </x:c>
      <x:c r="K57" s="44" t="n">
        <x:v>46217.994571759256</x:v>
      </x:c>
      <x:c r="L57" s="26" t="str">
        <x:v>SOURCE_LINK_ONLY</x:v>
      </x:c>
      <x:c r="M57" s="26" t="str">
        <x:v>/products/usb-c-hub/</x:v>
      </x:c>
      <x:c r="N57" s="26" t="str">
        <x:v>Mixed-script loan phrase; proxy only.</x:v>
      </x:c>
    </x:row>
    <x:row r="58" ht="52" customHeight="1">
      <x:c r="A58" s="26" t="str">
        <x:v>SEO-KW-008</x:v>
      </x:c>
      <x:c r="B58" s="26" t="str">
        <x:v>keyword_proxy</x:v>
      </x:c>
      <x:c r="C58" s="26" t="str">
        <x:v>EG</x:v>
      </x:c>
      <x:c r="D58" s="26" t="str">
        <x:v>laptop stand egypt</x:v>
      </x:c>
      <x:c r="E58" s="26" t="str">
        <x:v>google_autocomplete_presence</x:v>
      </x:c>
      <x:c r="F58" s="26" t="str">
        <x:v>returned</x:v>
      </x:c>
      <x:c r="G58" s="26" t="str">
        <x:v>qualitative</x:v>
      </x:c>
      <x:c r="H58" s="26" t="str">
        <x:v>Returned under the Egypt-localized seed laptop stand.</x:v>
      </x:c>
      <x:c r="I58" s="26" t="str">
        <x:v>Google Autocomplete Egypt</x:v>
      </x:c>
      <x:c r="J58" s="47" t="str">
        <x:v>https://suggestqueries.google.com/complete/search?client=firefox&amp;hl=en&amp;gl=eg&amp;q=laptop%20stand</x:v>
      </x:c>
      <x:c r="K58" s="44" t="n">
        <x:v>46217.994571759256</x:v>
      </x:c>
      <x:c r="L58" s="26" t="str">
        <x:v>SOURCE_LINK_ONLY</x:v>
      </x:c>
      <x:c r="M58" s="26" t="str">
        <x:v>/products/laptop-stand/</x:v>
      </x:c>
      <x:c r="N58" s="26" t="str">
        <x:v>Explicit local modifier; proxy only.</x:v>
      </x:c>
    </x:row>
    <x:row r="59" ht="52" customHeight="1">
      <x:c r="A59" s="26" t="str">
        <x:v>SEO-KW-009</x:v>
      </x:c>
      <x:c r="B59" s="26" t="str">
        <x:v>keyword_proxy</x:v>
      </x:c>
      <x:c r="C59" s="26" t="str">
        <x:v>EG</x:v>
      </x:c>
      <x:c r="D59" s="26" t="str">
        <x:v>laptop stand for desk</x:v>
      </x:c>
      <x:c r="E59" s="26" t="str">
        <x:v>google_autocomplete_presence</x:v>
      </x:c>
      <x:c r="F59" s="26" t="str">
        <x:v>returned</x:v>
      </x:c>
      <x:c r="G59" s="26" t="str">
        <x:v>qualitative</x:v>
      </x:c>
      <x:c r="H59" s="26" t="str">
        <x:v>Returned under the Egypt-localized seed laptop stand.</x:v>
      </x:c>
      <x:c r="I59" s="26" t="str">
        <x:v>Google Autocomplete Egypt</x:v>
      </x:c>
      <x:c r="J59" s="47" t="str">
        <x:v>https://suggestqueries.google.com/complete/search?client=firefox&amp;hl=en&amp;gl=eg&amp;q=laptop%20stand</x:v>
      </x:c>
      <x:c r="K59" s="44" t="n">
        <x:v>46217.994571759256</x:v>
      </x:c>
      <x:c r="L59" s="26" t="str">
        <x:v>SOURCE_LINK_ONLY</x:v>
      </x:c>
      <x:c r="M59" s="26" t="str">
        <x:v>/products/laptop-stand/</x:v>
      </x:c>
      <x:c r="N59" s="26" t="str">
        <x:v>Desk-use modifier; proxy only.</x:v>
      </x:c>
    </x:row>
    <x:row r="60" ht="52" customHeight="1">
      <x:c r="A60" s="26" t="str">
        <x:v>SEO-KW-010</x:v>
      </x:c>
      <x:c r="B60" s="26" t="str">
        <x:v>keyword_proxy</x:v>
      </x:c>
      <x:c r="C60" s="26" t="str">
        <x:v>EG</x:v>
      </x:c>
      <x:c r="D60" s="26" t="str">
        <x:v>حامل لابتوب</x:v>
      </x:c>
      <x:c r="E60" s="26" t="str">
        <x:v>google_autocomplete_presence</x:v>
      </x:c>
      <x:c r="F60" s="26" t="str">
        <x:v>returned</x:v>
      </x:c>
      <x:c r="G60" s="26" t="str">
        <x:v>qualitative</x:v>
      </x:c>
      <x:c r="H60" s="26" t="str">
        <x:v>The Egypt-localized Arabic suggestion response returned the exact query.</x:v>
      </x:c>
      <x:c r="I60" s="26" t="str">
        <x:v>Google Autocomplete Egypt Arabic</x:v>
      </x:c>
      <x:c r="J60" s="47" t="str">
        <x:v>https://suggestqueries.google.com/complete/search?client=firefox&amp;hl=ar&amp;gl=eg&amp;q=%D8%AD%D8%A7%D9%85%D9%84%20%D9%84%D8%A7%D8%A8%D8%AA%D9%88%D8%A8</x:v>
      </x:c>
      <x:c r="K60" s="44" t="n">
        <x:v>46217.994571759256</x:v>
      </x:c>
      <x:c r="L60" s="26" t="str">
        <x:v>SOURCE_LINK_ONLY</x:v>
      </x:c>
      <x:c r="M60" s="26" t="str">
        <x:v>/products/laptop-stand/</x:v>
      </x:c>
      <x:c r="N60" s="26" t="str">
        <x:v>Arabic-language proxy only.</x:v>
      </x:c>
    </x:row>
    <x:row r="61" ht="52" customHeight="1">
      <x:c r="A61" s="26" t="str">
        <x:v>SEO-KW-011</x:v>
      </x:c>
      <x:c r="B61" s="26" t="str">
        <x:v>keyword_proxy</x:v>
      </x:c>
      <x:c r="C61" s="26" t="str">
        <x:v>EG</x:v>
      </x:c>
      <x:c r="D61" s="26" t="str">
        <x:v>حامل لابتوب قابل للطي</x:v>
      </x:c>
      <x:c r="E61" s="26" t="str">
        <x:v>google_autocomplete_presence</x:v>
      </x:c>
      <x:c r="F61" s="26" t="str">
        <x:v>returned</x:v>
      </x:c>
      <x:c r="G61" s="26" t="str">
        <x:v>qualitative</x:v>
      </x:c>
      <x:c r="H61" s="26" t="str">
        <x:v>Returned under the Egypt-localized Arabic seed حامل لابتوب.</x:v>
      </x:c>
      <x:c r="I61" s="26" t="str">
        <x:v>Google Autocomplete Egypt Arabic</x:v>
      </x:c>
      <x:c r="J61" s="47" t="str">
        <x:v>https://suggestqueries.google.com/complete/search?client=firefox&amp;hl=ar&amp;gl=eg&amp;q=%D8%AD%D8%A7%D9%85%D9%84%20%D9%84%D8%A7%D8%A8%D8%AA%D9%88%D8%A8</x:v>
      </x:c>
      <x:c r="K61" s="44" t="n">
        <x:v>46217.994571759256</x:v>
      </x:c>
      <x:c r="L61" s="26" t="str">
        <x:v>SOURCE_LINK_ONLY</x:v>
      </x:c>
      <x:c r="M61" s="26" t="str">
        <x:v>/products/laptop-stand/</x:v>
      </x:c>
      <x:c r="N61" s="26" t="str">
        <x:v>Foldable-feature proxy only.</x:v>
      </x:c>
    </x:row>
    <x:row r="62" ht="52" customHeight="1">
      <x:c r="A62" s="26" t="str">
        <x:v>SEO-KW-012</x:v>
      </x:c>
      <x:c r="B62" s="26" t="str">
        <x:v>keyword_proxy</x:v>
      </x:c>
      <x:c r="C62" s="26" t="str">
        <x:v>EG</x:v>
      </x:c>
      <x:c r="D62" s="26" t="str">
        <x:v>ستاند لابتوب</x:v>
      </x:c>
      <x:c r="E62" s="26" t="str">
        <x:v>google_autocomplete_presence</x:v>
      </x:c>
      <x:c r="F62" s="26" t="str">
        <x:v>returned</x:v>
      </x:c>
      <x:c r="G62" s="26" t="str">
        <x:v>qualitative</x:v>
      </x:c>
      <x:c r="H62" s="26" t="str">
        <x:v>The Egypt-localized Arabic suggestion response returned the transliterated loan phrase.</x:v>
      </x:c>
      <x:c r="I62" s="26" t="str">
        <x:v>Google Autocomplete Egypt Arabic</x:v>
      </x:c>
      <x:c r="J62" s="47" t="str">
        <x:v>https://suggestqueries.google.com/complete/search?client=firefox&amp;hl=ar&amp;gl=eg&amp;q=%D8%B3%D8%AA%D8%A7%D9%86%D8%AF%20%D9%84%D8%A7%D8%A8%D8%AA%D9%88%D8%A8</x:v>
      </x:c>
      <x:c r="K62" s="44" t="n">
        <x:v>46217.994571759256</x:v>
      </x:c>
      <x:c r="L62" s="26" t="str">
        <x:v>SOURCE_LINK_ONLY</x:v>
      </x:c>
      <x:c r="M62" s="26" t="str">
        <x:v>/products/laptop-stand/</x:v>
      </x:c>
      <x:c r="N62" s="26" t="str">
        <x:v>Transliterated proxy only.</x:v>
      </x:c>
    </x:row>
    <x:row r="63" ht="52" customHeight="1">
      <x:c r="A63" s="26" t="str">
        <x:v>SEO-KW-014</x:v>
      </x:c>
      <x:c r="B63" s="26" t="str">
        <x:v>keyword_proxy</x:v>
      </x:c>
      <x:c r="C63" s="26" t="str">
        <x:v>EG</x:v>
      </x:c>
      <x:c r="D63" s="26" t="str">
        <x:v>laptop cooling pad egypt</x:v>
      </x:c>
      <x:c r="E63" s="26" t="str">
        <x:v>google_autocomplete_presence</x:v>
      </x:c>
      <x:c r="F63" s="26" t="str">
        <x:v>returned</x:v>
      </x:c>
      <x:c r="G63" s="26" t="str">
        <x:v>qualitative</x:v>
      </x:c>
      <x:c r="H63" s="26" t="str">
        <x:v>Returned under the Egypt-localized seed laptop cooling pad.</x:v>
      </x:c>
      <x:c r="I63" s="26" t="str">
        <x:v>Google Autocomplete Egypt</x:v>
      </x:c>
      <x:c r="J63" s="47" t="str">
        <x:v>https://suggestqueries.google.com/complete/search?client=firefox&amp;hl=en&amp;gl=eg&amp;q=laptop%20cooling%20pad</x:v>
      </x:c>
      <x:c r="K63" s="44" t="n">
        <x:v>46217.994571759256</x:v>
      </x:c>
      <x:c r="L63" s="26" t="str">
        <x:v>SOURCE_LINK_ONLY</x:v>
      </x:c>
      <x:c r="M63" s="26" t="str">
        <x:v>/products/laptop-cooling-pad/</x:v>
      </x:c>
      <x:c r="N63" s="26" t="str">
        <x:v>Explicit local modifier; proxy only.</x:v>
      </x:c>
    </x:row>
    <x:row r="64" ht="52" customHeight="1">
      <x:c r="A64" s="26" t="str">
        <x:v>SEO-KW-015</x:v>
      </x:c>
      <x:c r="B64" s="26" t="str">
        <x:v>keyword_proxy</x:v>
      </x:c>
      <x:c r="C64" s="26" t="str">
        <x:v>EG</x:v>
      </x:c>
      <x:c r="D64" s="26" t="str">
        <x:v>laptop cooling pad for gaming</x:v>
      </x:c>
      <x:c r="E64" s="26" t="str">
        <x:v>google_autocomplete_presence</x:v>
      </x:c>
      <x:c r="F64" s="26" t="str">
        <x:v>returned</x:v>
      </x:c>
      <x:c r="G64" s="26" t="str">
        <x:v>qualitative</x:v>
      </x:c>
      <x:c r="H64" s="26" t="str">
        <x:v>Returned under the Egypt-localized seed laptop cooling pad.</x:v>
      </x:c>
      <x:c r="I64" s="26" t="str">
        <x:v>Google Autocomplete Egypt</x:v>
      </x:c>
      <x:c r="J64" s="47" t="str">
        <x:v>https://suggestqueries.google.com/complete/search?client=firefox&amp;hl=en&amp;gl=eg&amp;q=laptop%20cooling%20pad</x:v>
      </x:c>
      <x:c r="K64" s="44" t="n">
        <x:v>46217.994571759256</x:v>
      </x:c>
      <x:c r="L64" s="26" t="str">
        <x:v>SOURCE_LINK_ONLY</x:v>
      </x:c>
      <x:c r="M64" s="26" t="str">
        <x:v>/products/laptop-cooling-pad/</x:v>
      </x:c>
      <x:c r="N64" s="26" t="str">
        <x:v>Audience modifier; proxy only.</x:v>
      </x:c>
    </x:row>
    <x:row r="65" ht="52" customHeight="1">
      <x:c r="A65" s="26" t="str">
        <x:v>SEO-KW-016</x:v>
      </x:c>
      <x:c r="B65" s="26" t="str">
        <x:v>keyword_proxy</x:v>
      </x:c>
      <x:c r="C65" s="26" t="str">
        <x:v>EG</x:v>
      </x:c>
      <x:c r="D65" s="26" t="str">
        <x:v>مبرد لابتوب</x:v>
      </x:c>
      <x:c r="E65" s="26" t="str">
        <x:v>google_autocomplete_presence</x:v>
      </x:c>
      <x:c r="F65" s="26" t="str">
        <x:v>returned</x:v>
      </x:c>
      <x:c r="G65" s="26" t="str">
        <x:v>qualitative</x:v>
      </x:c>
      <x:c r="H65" s="26" t="str">
        <x:v>The Egypt-localized Arabic suggestion response returned the exact query.</x:v>
      </x:c>
      <x:c r="I65" s="26" t="str">
        <x:v>Google Autocomplete Egypt Arabic</x:v>
      </x:c>
      <x:c r="J65" s="47" t="str">
        <x:v>https://suggestqueries.google.com/complete/search?client=firefox&amp;hl=ar&amp;gl=eg&amp;q=%D9%85%D8%A8%D8%B1%D8%AF%20%D9%84%D8%A7%D8%A8%D8%AA%D9%88%D8%A8</x:v>
      </x:c>
      <x:c r="K65" s="44" t="n">
        <x:v>46217.994571759256</x:v>
      </x:c>
      <x:c r="L65" s="26" t="str">
        <x:v>SOURCE_LINK_ONLY</x:v>
      </x:c>
      <x:c r="M65" s="26" t="str">
        <x:v>/products/laptop-cooling-pad/</x:v>
      </x:c>
      <x:c r="N65" s="26" t="str">
        <x:v>Arabic-language proxy only.</x:v>
      </x:c>
    </x:row>
    <x:row r="66" ht="52" customHeight="1">
      <x:c r="A66" s="26" t="str">
        <x:v>SEO-KW-017</x:v>
      </x:c>
      <x:c r="B66" s="26" t="str">
        <x:v>keyword_proxy</x:v>
      </x:c>
      <x:c r="C66" s="26" t="str">
        <x:v>EG</x:v>
      </x:c>
      <x:c r="D66" s="26" t="str">
        <x:v>قاعدة تبريد لابتوب</x:v>
      </x:c>
      <x:c r="E66" s="26" t="str">
        <x:v>google_autocomplete_presence</x:v>
      </x:c>
      <x:c r="F66" s="26" t="str">
        <x:v>returned</x:v>
      </x:c>
      <x:c r="G66" s="26" t="str">
        <x:v>qualitative</x:v>
      </x:c>
      <x:c r="H66" s="26" t="str">
        <x:v>The Egypt-localized Arabic suggestion response returned the exact query.</x:v>
      </x:c>
      <x:c r="I66" s="26" t="str">
        <x:v>Google Autocomplete Egypt Arabic</x:v>
      </x:c>
      <x:c r="J66" s="47" t="str">
        <x:v>https://suggestqueries.google.com/complete/search?client=firefox&amp;hl=ar&amp;gl=eg&amp;q=%D9%82%D8%A7%D8%B9%D8%AF%D8%A9%20%D8%AA%D8%A8%D8%B1%D9%8A%D8%AF%20%D9%84%D8%A7%D8%A8%D8%AA%D9%88%D8%A8</x:v>
      </x:c>
      <x:c r="K66" s="44" t="n">
        <x:v>46217.994571759256</x:v>
      </x:c>
      <x:c r="L66" s="26" t="str">
        <x:v>SOURCE_LINK_ONLY</x:v>
      </x:c>
      <x:c r="M66" s="26" t="str">
        <x:v>/products/laptop-cooling-pad/</x:v>
      </x:c>
      <x:c r="N66" s="26" t="str">
        <x:v>Arabic-language proxy only.</x:v>
      </x:c>
    </x:row>
    <x:row r="67" ht="52" customHeight="1">
      <x:c r="A67" s="26" t="str">
        <x:v>SEO-KW-018</x:v>
      </x:c>
      <x:c r="B67" s="26" t="str">
        <x:v>keyword_proxy</x:v>
      </x:c>
      <x:c r="C67" s="26" t="str">
        <x:v>EG</x:v>
      </x:c>
      <x:c r="D67" s="26" t="str">
        <x:v>كولينج باد لابتوب</x:v>
      </x:c>
      <x:c r="E67" s="26" t="str">
        <x:v>google_autocomplete_expansion</x:v>
      </x:c>
      <x:c r="F67" s="26" t="str">
        <x:v>not_returned</x:v>
      </x:c>
      <x:c r="G67" s="26" t="str">
        <x:v>qualitative</x:v>
      </x:c>
      <x:c r="H67" s="26" t="str">
        <x:v>The Egypt-localized Arabic seed produced no suggestion expansion at capture time.</x:v>
      </x:c>
      <x:c r="I67" s="26" t="str">
        <x:v>Google Autocomplete Egypt Arabic</x:v>
      </x:c>
      <x:c r="J67" s="47" t="str">
        <x:v>https://suggestqueries.google.com/complete/search?client=firefox&amp;hl=ar&amp;gl=eg&amp;q=%D9%83%D9%88%D9%84%D9%8A%D9%86%D8%AC%20%D8%A8%D8%A7%D8%AF%20%D9%84%D8%A7%D8%A8%D8%AA%D9%88%D8%A8</x:v>
      </x:c>
      <x:c r="K67" s="44" t="n">
        <x:v>46217.994571759256</x:v>
      </x:c>
      <x:c r="L67" s="26" t="str">
        <x:v>SOURCE_LINK_ONLY</x:v>
      </x:c>
      <x:c r="M67" s="26" t="str">
        <x:v>/products/laptop-cooling-pad/</x:v>
      </x:c>
      <x:c r="N67" s="26" t="str">
        <x:v>Weak transliterated candidate; not demand evidence.</x:v>
      </x:c>
    </x:row>
    <x:row r="68" ht="52" customHeight="1">
      <x:c r="A68" s="26" t="str">
        <x:v>SEO-KW-020</x:v>
      </x:c>
      <x:c r="B68" s="26" t="str">
        <x:v>keyword_proxy</x:v>
      </x:c>
      <x:c r="C68" s="26" t="str">
        <x:v>EG</x:v>
      </x:c>
      <x:c r="D68" s="26" t="str">
        <x:v>cable management desk tray</x:v>
      </x:c>
      <x:c r="E68" s="26" t="str">
        <x:v>google_autocomplete_presence</x:v>
      </x:c>
      <x:c r="F68" s="26" t="str">
        <x:v>returned</x:v>
      </x:c>
      <x:c r="G68" s="26" t="str">
        <x:v>qualitative</x:v>
      </x:c>
      <x:c r="H68" s="26" t="str">
        <x:v>Returned under the Egypt-localized seed cable management desk.</x:v>
      </x:c>
      <x:c r="I68" s="26" t="str">
        <x:v>Google Autocomplete Egypt</x:v>
      </x:c>
      <x:c r="J68" s="47" t="str">
        <x:v>https://suggestqueries.google.com/complete/search?client=firefox&amp;hl=en&amp;gl=eg&amp;q=cable%20management%20desk</x:v>
      </x:c>
      <x:c r="K68" s="44" t="n">
        <x:v>46217.994571759256</x:v>
      </x:c>
      <x:c r="L68" s="26" t="str">
        <x:v>SOURCE_LINK_ONLY</x:v>
      </x:c>
      <x:c r="M68" s="26" t="str">
        <x:v>/products/desk-cable-management/</x:v>
      </x:c>
      <x:c r="N68" s="26" t="str">
        <x:v>Tray-feature proxy only.</x:v>
      </x:c>
    </x:row>
    <x:row r="69" ht="52" customHeight="1">
      <x:c r="A69" s="26" t="str">
        <x:v>SEO-KW-021</x:v>
      </x:c>
      <x:c r="B69" s="26" t="str">
        <x:v>keyword_proxy</x:v>
      </x:c>
      <x:c r="C69" s="26" t="str">
        <x:v>EG</x:v>
      </x:c>
      <x:c r="D69" s="26" t="str">
        <x:v>cable management desk box</x:v>
      </x:c>
      <x:c r="E69" s="26" t="str">
        <x:v>google_autocomplete_presence</x:v>
      </x:c>
      <x:c r="F69" s="26" t="str">
        <x:v>returned</x:v>
      </x:c>
      <x:c r="G69" s="26" t="str">
        <x:v>qualitative</x:v>
      </x:c>
      <x:c r="H69" s="26" t="str">
        <x:v>Returned under the Egypt-localized seed cable management desk.</x:v>
      </x:c>
      <x:c r="I69" s="26" t="str">
        <x:v>Google Autocomplete Egypt</x:v>
      </x:c>
      <x:c r="J69" s="47" t="str">
        <x:v>https://suggestqueries.google.com/complete/search?client=firefox&amp;hl=en&amp;gl=eg&amp;q=cable%20management%20desk</x:v>
      </x:c>
      <x:c r="K69" s="44" t="n">
        <x:v>46217.994571759256</x:v>
      </x:c>
      <x:c r="L69" s="26" t="str">
        <x:v>SOURCE_LINK_ONLY</x:v>
      </x:c>
      <x:c r="M69" s="26" t="str">
        <x:v>/products/desk-cable-management/</x:v>
      </x:c>
      <x:c r="N69" s="26" t="str">
        <x:v>Box-feature proxy only.</x:v>
      </x:c>
    </x:row>
    <x:row r="70" ht="52" customHeight="1">
      <x:c r="A70" s="26" t="str">
        <x:v>SEO-KW-022</x:v>
      </x:c>
      <x:c r="B70" s="26" t="str">
        <x:v>retailer_term_proxy</x:v>
      </x:c>
      <x:c r="C70" s="26" t="str">
        <x:v>EG</x:v>
      </x:c>
      <x:c r="D70" s="26" t="str">
        <x:v>under desk cable management tray</x:v>
      </x:c>
      <x:c r="E70" s="26" t="str">
        <x:v>retailer_listing_presence</x:v>
      </x:c>
      <x:c r="F70" s="26" t="str">
        <x:v>present</x:v>
      </x:c>
      <x:c r="G70" s="26" t="str">
        <x:v>qualitative</x:v>
      </x:c>
      <x:c r="H70" s="26" t="str">
        <x:v>A current Noon Egypt listing uses this exact product-category phrase.</x:v>
      </x:c>
      <x:c r="I70" s="26" t="str">
        <x:v>Noon Egypt</x:v>
      </x:c>
      <x:c r="J70" s="47" t="str">
        <x:v>https://www.noon.com/egypt-en/under-desk-cable-management-tray-black-with-clamp-for-wire-management-cord-organization-box-for-office-home/Z856C2530446425AD6097Z/p/</x:v>
      </x:c>
      <x:c r="K70" s="44" t="n">
        <x:v>46217.994571759256</x:v>
      </x:c>
      <x:c r="L70" s="26" t="str">
        <x:v>SOURCE_LINK_ONLY</x:v>
      </x:c>
      <x:c r="M70" s="26" t="str">
        <x:v>/products/desk-cable-management/</x:v>
      </x:c>
      <x:c r="N70" s="26" t="str">
        <x:v>Retailer terminology is not search volume.</x:v>
      </x:c>
    </x:row>
    <x:row r="71" ht="52" customHeight="1">
      <x:c r="A71" s="26" t="str">
        <x:v>SEO-KW-023</x:v>
      </x:c>
      <x:c r="B71" s="26" t="str">
        <x:v>keyword_proxy</x:v>
      </x:c>
      <x:c r="C71" s="26" t="str">
        <x:v>EG</x:v>
      </x:c>
      <x:c r="D71" s="26" t="str">
        <x:v>cable organizer egypt</x:v>
      </x:c>
      <x:c r="E71" s="26" t="str">
        <x:v>google_autocomplete_presence</x:v>
      </x:c>
      <x:c r="F71" s="26" t="str">
        <x:v>returned</x:v>
      </x:c>
      <x:c r="G71" s="26" t="str">
        <x:v>qualitative</x:v>
      </x:c>
      <x:c r="H71" s="26" t="str">
        <x:v>The Egypt-localized Google suggestion response returned the exact local-modifier query.</x:v>
      </x:c>
      <x:c r="I71" s="26" t="str">
        <x:v>Google Autocomplete Egypt</x:v>
      </x:c>
      <x:c r="J71" s="47" t="str">
        <x:v>https://suggestqueries.google.com/complete/search?client=firefox&amp;hl=en&amp;gl=eg&amp;q=cable%20organizer%20egypt</x:v>
      </x:c>
      <x:c r="K71" s="44" t="n">
        <x:v>46217.994571759256</x:v>
      </x:c>
      <x:c r="L71" s="26" t="str">
        <x:v>SOURCE_LINK_ONLY</x:v>
      </x:c>
      <x:c r="M71" s="26" t="str">
        <x:v>/products/desk-cable-management/</x:v>
      </x:c>
      <x:c r="N71" s="26" t="str">
        <x:v>Autocomplete presence is not volume or trend direction.</x:v>
      </x:c>
    </x:row>
    <x:row r="72" ht="52" customHeight="1">
      <x:c r="A72" s="26" t="str">
        <x:v>SEO-KW-024</x:v>
      </x:c>
      <x:c r="B72" s="26" t="str">
        <x:v>keyword_proxy</x:v>
      </x:c>
      <x:c r="C72" s="26" t="str">
        <x:v>EG</x:v>
      </x:c>
      <x:c r="D72" s="26" t="str">
        <x:v>كيبل مانجمنت</x:v>
      </x:c>
      <x:c r="E72" s="26" t="str">
        <x:v>google_autocomplete_presence</x:v>
      </x:c>
      <x:c r="F72" s="26" t="str">
        <x:v>returned</x:v>
      </x:c>
      <x:c r="G72" s="26" t="str">
        <x:v>qualitative</x:v>
      </x:c>
      <x:c r="H72" s="26" t="str">
        <x:v>The Egypt-localized Arabic suggestion response returned the transliterated phrase.</x:v>
      </x:c>
      <x:c r="I72" s="26" t="str">
        <x:v>Google Autocomplete Egypt Arabic</x:v>
      </x:c>
      <x:c r="J72" s="47" t="str">
        <x:v>https://suggestqueries.google.com/complete/search?client=firefox&amp;hl=ar&amp;gl=eg&amp;q=%D9%83%D9%8A%D8%A8%D9%84%20%D9%85%D8%A7%D9%86%D8%AC%D9%85%D9%86%D8%AA</x:v>
      </x:c>
      <x:c r="K72" s="44" t="n">
        <x:v>46217.994571759256</x:v>
      </x:c>
      <x:c r="L72" s="26" t="str">
        <x:v>SOURCE_LINK_ONLY</x:v>
      </x:c>
      <x:c r="M72" s="26" t="str">
        <x:v>/products/desk-cable-management/</x:v>
      </x:c>
      <x:c r="N72" s="26" t="str">
        <x:v>Transliterated proxy only.</x:v>
      </x:c>
    </x:row>
    <x:row r="73" ht="52" customHeight="1">
      <x:c r="A73" s="26" t="str">
        <x:v>SEO-KW-026</x:v>
      </x:c>
      <x:c r="B73" s="26" t="str">
        <x:v>keyword_proxy</x:v>
      </x:c>
      <x:c r="C73" s="26" t="str">
        <x:v>EG</x:v>
      </x:c>
      <x:c r="D73" s="26" t="str">
        <x:v>ergonomic mouse egypt</x:v>
      </x:c>
      <x:c r="E73" s="26" t="str">
        <x:v>google_autocomplete_presence</x:v>
      </x:c>
      <x:c r="F73" s="26" t="str">
        <x:v>returned</x:v>
      </x:c>
      <x:c r="G73" s="26" t="str">
        <x:v>qualitative</x:v>
      </x:c>
      <x:c r="H73" s="26" t="str">
        <x:v>Returned under the Egypt-localized seed ergonomic mouse.</x:v>
      </x:c>
      <x:c r="I73" s="26" t="str">
        <x:v>Google Autocomplete Egypt</x:v>
      </x:c>
      <x:c r="J73" s="47" t="str">
        <x:v>https://suggestqueries.google.com/complete/search?client=firefox&amp;hl=en&amp;gl=eg&amp;q=ergonomic%20mouse</x:v>
      </x:c>
      <x:c r="K73" s="44" t="n">
        <x:v>46217.994571759256</x:v>
      </x:c>
      <x:c r="L73" s="26" t="str">
        <x:v>SOURCE_LINK_ONLY</x:v>
      </x:c>
      <x:c r="M73" s="26" t="str">
        <x:v>/products/ergonomic-mouse/</x:v>
      </x:c>
      <x:c r="N73" s="26" t="str">
        <x:v>Explicit local modifier; proxy only.</x:v>
      </x:c>
    </x:row>
    <x:row r="74" ht="52" customHeight="1">
      <x:c r="A74" s="26" t="str">
        <x:v>SEO-KW-027</x:v>
      </x:c>
      <x:c r="B74" s="26" t="str">
        <x:v>keyword_proxy</x:v>
      </x:c>
      <x:c r="C74" s="26" t="str">
        <x:v>EG</x:v>
      </x:c>
      <x:c r="D74" s="26" t="str">
        <x:v>ergonomic mouse wireless</x:v>
      </x:c>
      <x:c r="E74" s="26" t="str">
        <x:v>google_autocomplete_presence</x:v>
      </x:c>
      <x:c r="F74" s="26" t="str">
        <x:v>returned</x:v>
      </x:c>
      <x:c r="G74" s="26" t="str">
        <x:v>qualitative</x:v>
      </x:c>
      <x:c r="H74" s="26" t="str">
        <x:v>Returned under the Egypt-localized seed ergonomic mouse.</x:v>
      </x:c>
      <x:c r="I74" s="26" t="str">
        <x:v>Google Autocomplete Egypt</x:v>
      </x:c>
      <x:c r="J74" s="47" t="str">
        <x:v>https://suggestqueries.google.com/complete/search?client=firefox&amp;hl=en&amp;gl=eg&amp;q=ergonomic%20mouse</x:v>
      </x:c>
      <x:c r="K74" s="44" t="n">
        <x:v>46217.994571759256</x:v>
      </x:c>
      <x:c r="L74" s="26" t="str">
        <x:v>SOURCE_LINK_ONLY</x:v>
      </x:c>
      <x:c r="M74" s="26" t="str">
        <x:v>/products/ergonomic-mouse/</x:v>
      </x:c>
      <x:c r="N74" s="26" t="str">
        <x:v>Connectivity modifier; proxy only.</x:v>
      </x:c>
    </x:row>
    <x:row r="75" ht="52" customHeight="1">
      <x:c r="A75" s="26" t="str">
        <x:v>SEO-KW-028</x:v>
      </x:c>
      <x:c r="B75" s="26" t="str">
        <x:v>keyword_proxy</x:v>
      </x:c>
      <x:c r="C75" s="26" t="str">
        <x:v>EG</x:v>
      </x:c>
      <x:c r="D75" s="26" t="str">
        <x:v>ergonomic mouse for carpal tunnel</x:v>
      </x:c>
      <x:c r="E75" s="26" t="str">
        <x:v>google_autocomplete_presence</x:v>
      </x:c>
      <x:c r="F75" s="26" t="str">
        <x:v>returned</x:v>
      </x:c>
      <x:c r="G75" s="26" t="str">
        <x:v>qualitative</x:v>
      </x:c>
      <x:c r="H75" s="26" t="str">
        <x:v>Returned under the Egypt-localized seed ergonomic mouse.</x:v>
      </x:c>
      <x:c r="I75" s="26" t="str">
        <x:v>Google Autocomplete Egypt</x:v>
      </x:c>
      <x:c r="J75" s="47" t="str">
        <x:v>https://suggestqueries.google.com/complete/search?client=firefox&amp;hl=en&amp;gl=eg&amp;q=ergonomic%20mouse</x:v>
      </x:c>
      <x:c r="K75" s="44" t="n">
        <x:v>46217.994571759256</x:v>
      </x:c>
      <x:c r="L75" s="26" t="str">
        <x:v>SOURCE_LINK_ONLY</x:v>
      </x:c>
      <x:c r="M75" s="26" t="str">
        <x:v>/products/ergonomic-mouse/</x:v>
      </x:c>
      <x:c r="N75" s="26" t="str">
        <x:v>Problem-language proxy only; no medical efficacy inference.</x:v>
      </x:c>
    </x:row>
    <x:row r="76" ht="52" customHeight="1">
      <x:c r="A76" s="26" t="str">
        <x:v>SEO-KW-029</x:v>
      </x:c>
      <x:c r="B76" s="26" t="str">
        <x:v>keyword_proxy</x:v>
      </x:c>
      <x:c r="C76" s="26" t="str">
        <x:v>EG</x:v>
      </x:c>
      <x:c r="D76" s="26" t="str">
        <x:v>ماوس مريح لليد</x:v>
      </x:c>
      <x:c r="E76" s="26" t="str">
        <x:v>google_autocomplete_presence</x:v>
      </x:c>
      <x:c r="F76" s="26" t="str">
        <x:v>returned</x:v>
      </x:c>
      <x:c r="G76" s="26" t="str">
        <x:v>qualitative</x:v>
      </x:c>
      <x:c r="H76" s="26" t="str">
        <x:v>Returned under the Egypt-localized Arabic seed ماوس مريح.</x:v>
      </x:c>
      <x:c r="I76" s="26" t="str">
        <x:v>Google Autocomplete Egypt Arabic</x:v>
      </x:c>
      <x:c r="J76" s="47" t="str">
        <x:v>https://suggestqueries.google.com/complete/search?client=firefox&amp;hl=ar&amp;gl=eg&amp;q=%D9%85%D8%A7%D9%88%D8%B3%20%D9%85%D8%B1%D9%8A%D8%AD</x:v>
      </x:c>
      <x:c r="K76" s="44" t="n">
        <x:v>46217.994571759256</x:v>
      </x:c>
      <x:c r="L76" s="26" t="str">
        <x:v>SOURCE_LINK_ONLY</x:v>
      </x:c>
      <x:c r="M76" s="26" t="str">
        <x:v>/products/ergonomic-mouse/</x:v>
      </x:c>
      <x:c r="N76" s="26" t="str">
        <x:v>Arabic problem phrase; proxy only.</x:v>
      </x:c>
    </x:row>
    <x:row r="77" ht="52" customHeight="1">
      <x:c r="A77" s="26" t="str">
        <x:v>SEO-KW-030</x:v>
      </x:c>
      <x:c r="B77" s="26" t="str">
        <x:v>keyword_proxy</x:v>
      </x:c>
      <x:c r="C77" s="26" t="str">
        <x:v>EG</x:v>
      </x:c>
      <x:c r="D77" s="26" t="str">
        <x:v>ماوس ergonomic</x:v>
      </x:c>
      <x:c r="E77" s="26" t="str">
        <x:v>google_autocomplete_presence</x:v>
      </x:c>
      <x:c r="F77" s="26" t="str">
        <x:v>returned</x:v>
      </x:c>
      <x:c r="G77" s="26" t="str">
        <x:v>qualitative</x:v>
      </x:c>
      <x:c r="H77" s="26" t="str">
        <x:v>The Egypt-localized Arabic suggestion response returned the mixed-script query.</x:v>
      </x:c>
      <x:c r="I77" s="26" t="str">
        <x:v>Google Autocomplete Egypt Arabic</x:v>
      </x:c>
      <x:c r="J77" s="47" t="str">
        <x:v>https://suggestqueries.google.com/complete/search?client=firefox&amp;hl=ar&amp;gl=eg&amp;q=%D9%85%D8%A7%D9%88%D8%B3%20ergonomic</x:v>
      </x:c>
      <x:c r="K77" s="44" t="n">
        <x:v>46217.994571759256</x:v>
      </x:c>
      <x:c r="L77" s="26" t="str">
        <x:v>SOURCE_LINK_ONLY</x:v>
      </x:c>
      <x:c r="M77" s="26" t="str">
        <x:v>/products/ergonomic-mouse/</x:v>
      </x:c>
      <x:c r="N77" s="26" t="str">
        <x:v>Mixed-script proxy only.</x:v>
      </x:c>
    </x:row>
    <x:row r="78" ht="52" customHeight="1">
      <x:c r="A78" s="26" t="str">
        <x:v>SEO-KW-031</x:v>
      </x:c>
      <x:c r="B78" s="26" t="str">
        <x:v>keyword_proxy</x:v>
      </x:c>
      <x:c r="C78" s="26" t="str">
        <x:v>EG</x:v>
      </x:c>
      <x:c r="D78" s="26" t="str">
        <x:v>laptop desk setup</x:v>
      </x:c>
      <x:c r="E78" s="26" t="str">
        <x:v>google_autocomplete_presence</x:v>
      </x:c>
      <x:c r="F78" s="26" t="str">
        <x:v>returned</x:v>
      </x:c>
      <x:c r="G78" s="26" t="str">
        <x:v>qualitative</x:v>
      </x:c>
      <x:c r="H78" s="26" t="str">
        <x:v>The Egypt-localized Google suggestion response returned the exact query.</x:v>
      </x:c>
      <x:c r="I78" s="26" t="str">
        <x:v>Google Autocomplete Egypt</x:v>
      </x:c>
      <x:c r="J78" s="47" t="str">
        <x:v>https://suggestqueries.google.com/complete/search?client=firefox&amp;hl=en&amp;gl=eg&amp;q=laptop%20desk%20setup</x:v>
      </x:c>
      <x:c r="K78" s="44" t="n">
        <x:v>46217.994571759256</x:v>
      </x:c>
      <x:c r="L78" s="26" t="str">
        <x:v>SOURCE_LINK_ONLY</x:v>
      </x:c>
      <x:c r="M78" s="26" t="str">
        <x:v>/guides/fix-laptop-desk-setup-egypt/</x:v>
      </x:c>
      <x:c r="N78" s="26" t="str">
        <x:v>Autocomplete presence is not volume or trend direction.</x:v>
      </x:c>
    </x:row>
    <x:row r="79" ht="52" customHeight="1">
      <x:c r="A79" s="26" t="str">
        <x:v>SEO-KW-032</x:v>
      </x:c>
      <x:c r="B79" s="26" t="str">
        <x:v>keyword_proxy</x:v>
      </x:c>
      <x:c r="C79" s="26" t="str">
        <x:v>EG</x:v>
      </x:c>
      <x:c r="D79" s="26" t="str">
        <x:v>laptop desk setup without monitor</x:v>
      </x:c>
      <x:c r="E79" s="26" t="str">
        <x:v>google_autocomplete_presence</x:v>
      </x:c>
      <x:c r="F79" s="26" t="str">
        <x:v>returned</x:v>
      </x:c>
      <x:c r="G79" s="26" t="str">
        <x:v>qualitative</x:v>
      </x:c>
      <x:c r="H79" s="26" t="str">
        <x:v>Returned under the Egypt-localized seed laptop desk setup.</x:v>
      </x:c>
      <x:c r="I79" s="26" t="str">
        <x:v>Google Autocomplete Egypt</x:v>
      </x:c>
      <x:c r="J79" s="47" t="str">
        <x:v>https://suggestqueries.google.com/complete/search?client=firefox&amp;hl=en&amp;gl=eg&amp;q=laptop%20desk%20setup</x:v>
      </x:c>
      <x:c r="K79" s="44" t="n">
        <x:v>46217.994571759256</x:v>
      </x:c>
      <x:c r="L79" s="26" t="str">
        <x:v>SOURCE_LINK_ONLY</x:v>
      </x:c>
      <x:c r="M79" s="26" t="str">
        <x:v>/guides/fix-laptop-desk-setup-egypt/</x:v>
      </x:c>
      <x:c r="N79" s="26" t="str">
        <x:v>No-monitor modifier; informational proxy only.</x:v>
      </x:c>
    </x:row>
    <x:row r="80" ht="52" customHeight="1">
      <x:c r="A80" s="26" t="str">
        <x:v>SEO-KW-033</x:v>
      </x:c>
      <x:c r="B80" s="26" t="str">
        <x:v>keyword_proxy</x:v>
      </x:c>
      <x:c r="C80" s="26" t="str">
        <x:v>EG</x:v>
      </x:c>
      <x:c r="D80" s="26" t="str">
        <x:v>laptop desk setup accessories</x:v>
      </x:c>
      <x:c r="E80" s="26" t="str">
        <x:v>google_autocomplete_presence</x:v>
      </x:c>
      <x:c r="F80" s="26" t="str">
        <x:v>returned</x:v>
      </x:c>
      <x:c r="G80" s="26" t="str">
        <x:v>qualitative</x:v>
      </x:c>
      <x:c r="H80" s="26" t="str">
        <x:v>Returned under the Egypt-localized seed laptop desk setup.</x:v>
      </x:c>
      <x:c r="I80" s="26" t="str">
        <x:v>Google Autocomplete Egypt</x:v>
      </x:c>
      <x:c r="J80" s="47" t="str">
        <x:v>https://suggestqueries.google.com/complete/search?client=firefox&amp;hl=en&amp;gl=eg&amp;q=laptop%20desk%20setup</x:v>
      </x:c>
      <x:c r="K80" s="44" t="n">
        <x:v>46217.994571759256</x:v>
      </x:c>
      <x:c r="L80" s="26" t="str">
        <x:v>SOURCE_LINK_ONLY</x:v>
      </x:c>
      <x:c r="M80" s="26" t="str">
        <x:v>/guides/fix-laptop-desk-setup-egypt/</x:v>
      </x:c>
      <x:c r="N80" s="26" t="str">
        <x:v>Accessory-overview intent; proxy only.</x:v>
      </x:c>
    </x:row>
    <x:row r="81" ht="52" customHeight="1">
      <x:c r="A81" s="26" t="str">
        <x:v>SEO-KW-034</x:v>
      </x:c>
      <x:c r="B81" s="26" t="str">
        <x:v>keyword_proxy</x:v>
      </x:c>
      <x:c r="C81" s="26" t="str">
        <x:v>EG</x:v>
      </x:c>
      <x:c r="D81" s="26" t="str">
        <x:v>laptop desk ergonomics</x:v>
      </x:c>
      <x:c r="E81" s="26" t="str">
        <x:v>google_autocomplete_presence</x:v>
      </x:c>
      <x:c r="F81" s="26" t="str">
        <x:v>returned</x:v>
      </x:c>
      <x:c r="G81" s="26" t="str">
        <x:v>qualitative</x:v>
      </x:c>
      <x:c r="H81" s="26" t="str">
        <x:v>The Egypt-localized Google suggestion response returned the exact query.</x:v>
      </x:c>
      <x:c r="I81" s="26" t="str">
        <x:v>Google Autocomplete Egypt</x:v>
      </x:c>
      <x:c r="J81" s="47" t="str">
        <x:v>https://suggestqueries.google.com/complete/search?client=firefox&amp;hl=en&amp;gl=eg&amp;q=laptop%20desk%20ergonomics</x:v>
      </x:c>
      <x:c r="K81" s="44" t="n">
        <x:v>46217.994571759256</x:v>
      </x:c>
      <x:c r="L81" s="26" t="str">
        <x:v>SOURCE_LINK_ONLY</x:v>
      </x:c>
      <x:c r="M81" s="26" t="str">
        <x:v>/guides/fix-laptop-desk-setup-egypt/</x:v>
      </x:c>
      <x:c r="N81" s="26" t="str">
        <x:v>Informational proxy only.</x:v>
      </x:c>
    </x:row>
    <x:row r="82" ht="52" customHeight="1">
      <x:c r="A82" s="26" t="str">
        <x:v>SEO-KW-035</x:v>
      </x:c>
      <x:c r="B82" s="26" t="str">
        <x:v>keyword_proxy</x:v>
      </x:c>
      <x:c r="C82" s="26" t="str">
        <x:v>EG</x:v>
      </x:c>
      <x:c r="D82" s="26" t="str">
        <x:v>how to work ergonomically with a laptop</x:v>
      </x:c>
      <x:c r="E82" s="26" t="str">
        <x:v>google_autocomplete_presence</x:v>
      </x:c>
      <x:c r="F82" s="26" t="str">
        <x:v>returned</x:v>
      </x:c>
      <x:c r="G82" s="26" t="str">
        <x:v>qualitative</x:v>
      </x:c>
      <x:c r="H82" s="26" t="str">
        <x:v>Returned under the Egypt-localized seed laptop desk ergonomics.</x:v>
      </x:c>
      <x:c r="I82" s="26" t="str">
        <x:v>Google Autocomplete Egypt</x:v>
      </x:c>
      <x:c r="J82" s="47" t="str">
        <x:v>https://suggestqueries.google.com/complete/search?client=firefox&amp;hl=en&amp;gl=eg&amp;q=laptop%20desk%20ergonomics</x:v>
      </x:c>
      <x:c r="K82" s="44" t="n">
        <x:v>46217.994571759256</x:v>
      </x:c>
      <x:c r="L82" s="26" t="str">
        <x:v>SOURCE_LINK_ONLY</x:v>
      </x:c>
      <x:c r="M82" s="26" t="str">
        <x:v>/guides/fix-laptop-desk-setup-egypt/</x:v>
      </x:c>
      <x:c r="N82" s="26" t="str">
        <x:v>Question-intent proxy only.</x:v>
      </x:c>
    </x:row>
    <x:row r="83" ht="52" customHeight="1">
      <x:c r="A83" s="26" t="str">
        <x:v>SEO-KW-036</x:v>
      </x:c>
      <x:c r="B83" s="26" t="str">
        <x:v>keyword_proxy</x:v>
      </x:c>
      <x:c r="C83" s="26" t="str">
        <x:v>EG</x:v>
      </x:c>
      <x:c r="D83" s="26" t="str">
        <x:v>ترتيب مكتب لابتوب</x:v>
      </x:c>
      <x:c r="E83" s="26" t="str">
        <x:v>google_autocomplete_expansion</x:v>
      </x:c>
      <x:c r="F83" s="26" t="str">
        <x:v>not_returned</x:v>
      </x:c>
      <x:c r="G83" s="26" t="str">
        <x:v>qualitative</x:v>
      </x:c>
      <x:c r="H83" s="26" t="str">
        <x:v>The Egypt-localized Arabic seed produced no suggestion expansion at capture time.</x:v>
      </x:c>
      <x:c r="I83" s="26" t="str">
        <x:v>Google Autocomplete Egypt Arabic</x:v>
      </x:c>
      <x:c r="J83" s="47" t="str">
        <x:v>https://suggestqueries.google.com/complete/search?client=firefox&amp;hl=ar&amp;gl=eg&amp;q=%D8%AA%D8%B1%D8%AA%D9%8A%D8%A8%20%D9%85%D9%83%D8%AA%D8%A8%20%D9%84%D8%A7%D8%A8%D8%AA%D9%88%D8%A8</x:v>
      </x:c>
      <x:c r="K83" s="44" t="n">
        <x:v>46217.994571759256</x:v>
      </x:c>
      <x:c r="L83" s="26" t="str">
        <x:v>SOURCE_LINK_ONLY</x:v>
      </x:c>
      <x:c r="M83" s="26" t="str">
        <x:v>/guides/fix-laptop-desk-setup-egypt/</x:v>
      </x:c>
      <x:c r="N83" s="26" t="str">
        <x:v>Weak natural Arabic candidate; not demand evidence.</x:v>
      </x:c>
    </x:row>
    <x:row r="84" ht="52" customHeight="1">
      <x:c r="A84" s="26" t="str">
        <x:v>SEO-KW-037</x:v>
      </x:c>
      <x:c r="B84" s="26" t="str">
        <x:v>keyword_proxy</x:v>
      </x:c>
      <x:c r="C84" s="26" t="str">
        <x:v>EG</x:v>
      </x:c>
      <x:c r="D84" s="26" t="str">
        <x:v>how to choose usb c hub</x:v>
      </x:c>
      <x:c r="E84" s="26" t="str">
        <x:v>google_autocomplete_presence</x:v>
      </x:c>
      <x:c r="F84" s="26" t="str">
        <x:v>returned</x:v>
      </x:c>
      <x:c r="G84" s="26" t="str">
        <x:v>qualitative</x:v>
      </x:c>
      <x:c r="H84" s="26" t="str">
        <x:v>The Egypt-localized Google suggestion response returned the exact question query.</x:v>
      </x:c>
      <x:c r="I84" s="26" t="str">
        <x:v>Google Autocomplete Egypt</x:v>
      </x:c>
      <x:c r="J84" s="47" t="str">
        <x:v>https://suggestqueries.google.com/complete/search?client=firefox&amp;hl=en&amp;gl=eg&amp;q=how%20to%20choose%20usb%20c%20hub</x:v>
      </x:c>
      <x:c r="K84" s="44" t="n">
        <x:v>46217.994571759256</x:v>
      </x:c>
      <x:c r="L84" s="26" t="str">
        <x:v>SOURCE_LINK_ONLY</x:v>
      </x:c>
      <x:c r="M84" s="26" t="str">
        <x:v>/guides/choose-usb-c-hub-egypt/</x:v>
      </x:c>
      <x:c r="N84" s="26" t="str">
        <x:v>Autocomplete presence is not volume or trend direction.</x:v>
      </x:c>
    </x:row>
    <x:row r="85" ht="52" customHeight="1">
      <x:c r="A85" s="26" t="str">
        <x:v>SEO-KW-038</x:v>
      </x:c>
      <x:c r="B85" s="26" t="str">
        <x:v>keyword_proxy</x:v>
      </x:c>
      <x:c r="C85" s="26" t="str">
        <x:v>EG</x:v>
      </x:c>
      <x:c r="D85" s="26" t="str">
        <x:v>how to set up usb c hub</x:v>
      </x:c>
      <x:c r="E85" s="26" t="str">
        <x:v>google_autocomplete_presence</x:v>
      </x:c>
      <x:c r="F85" s="26" t="str">
        <x:v>returned</x:v>
      </x:c>
      <x:c r="G85" s="26" t="str">
        <x:v>qualitative</x:v>
      </x:c>
      <x:c r="H85" s="26" t="str">
        <x:v>Returned under the Egypt-localized seed how to choose usb c hub.</x:v>
      </x:c>
      <x:c r="I85" s="26" t="str">
        <x:v>Google Autocomplete Egypt</x:v>
      </x:c>
      <x:c r="J85" s="47" t="str">
        <x:v>https://suggestqueries.google.com/complete/search?client=firefox&amp;hl=en&amp;gl=eg&amp;q=how%20to%20choose%20usb%20c%20hub</x:v>
      </x:c>
      <x:c r="K85" s="44" t="n">
        <x:v>46217.994571759256</x:v>
      </x:c>
      <x:c r="L85" s="26" t="str">
        <x:v>SOURCE_LINK_ONLY</x:v>
      </x:c>
      <x:c r="M85" s="26" t="str">
        <x:v>/guides/choose-usb-c-hub-egypt/</x:v>
      </x:c>
      <x:c r="N85" s="26" t="str">
        <x:v>Setup-question proxy only.</x:v>
      </x:c>
    </x:row>
    <x:row r="86" ht="52" customHeight="1">
      <x:c r="A86" s="26" t="str">
        <x:v>SEO-KW-039</x:v>
      </x:c>
      <x:c r="B86" s="26" t="str">
        <x:v>keyword_proxy</x:v>
      </x:c>
      <x:c r="C86" s="26" t="str">
        <x:v>EG</x:v>
      </x:c>
      <x:c r="D86" s="26" t="str">
        <x:v>how to use usb c hub</x:v>
      </x:c>
      <x:c r="E86" s="26" t="str">
        <x:v>google_autocomplete_presence</x:v>
      </x:c>
      <x:c r="F86" s="26" t="str">
        <x:v>returned</x:v>
      </x:c>
      <x:c r="G86" s="26" t="str">
        <x:v>qualitative</x:v>
      </x:c>
      <x:c r="H86" s="26" t="str">
        <x:v>Returned under the Egypt-localized seed how to choose usb c hub.</x:v>
      </x:c>
      <x:c r="I86" s="26" t="str">
        <x:v>Google Autocomplete Egypt</x:v>
      </x:c>
      <x:c r="J86" s="47" t="str">
        <x:v>https://suggestqueries.google.com/complete/search?client=firefox&amp;hl=en&amp;gl=eg&amp;q=how%20to%20choose%20usb%20c%20hub</x:v>
      </x:c>
      <x:c r="K86" s="44" t="n">
        <x:v>46217.994571759256</x:v>
      </x:c>
      <x:c r="L86" s="26" t="str">
        <x:v>SOURCE_LINK_ONLY</x:v>
      </x:c>
      <x:c r="M86" s="26" t="str">
        <x:v>/guides/choose-usb-c-hub-egypt/</x:v>
      </x:c>
      <x:c r="N86" s="26" t="str">
        <x:v>Usage-question proxy only.</x:v>
      </x:c>
    </x:row>
    <x:row r="87" ht="52" customHeight="1">
      <x:c r="A87" s="26" t="str">
        <x:v>SEO-KW-040</x:v>
      </x:c>
      <x:c r="B87" s="26" t="str">
        <x:v>keyword_proxy</x:v>
      </x:c>
      <x:c r="C87" s="26" t="str">
        <x:v>EG</x:v>
      </x:c>
      <x:c r="D87" s="26" t="str">
        <x:v>usb c hub compatibility</x:v>
      </x:c>
      <x:c r="E87" s="26" t="str">
        <x:v>google_autocomplete_presence</x:v>
      </x:c>
      <x:c r="F87" s="26" t="str">
        <x:v>returned</x:v>
      </x:c>
      <x:c r="G87" s="26" t="str">
        <x:v>qualitative</x:v>
      </x:c>
      <x:c r="H87" s="26" t="str">
        <x:v>The Egypt-localized Google suggestion response returned the exact query.</x:v>
      </x:c>
      <x:c r="I87" s="26" t="str">
        <x:v>Google Autocomplete Egypt</x:v>
      </x:c>
      <x:c r="J87" s="47" t="str">
        <x:v>https://suggestqueries.google.com/complete/search?client=firefox&amp;hl=en&amp;gl=eg&amp;q=usb%20c%20hub%20compatibility</x:v>
      </x:c>
      <x:c r="K87" s="44" t="n">
        <x:v>46217.994571759256</x:v>
      </x:c>
      <x:c r="L87" s="26" t="str">
        <x:v>SOURCE_LINK_ONLY</x:v>
      </x:c>
      <x:c r="M87" s="26" t="str">
        <x:v>/guides/choose-usb-c-hub-egypt/</x:v>
      </x:c>
      <x:c r="N87" s="26" t="str">
        <x:v>Compatibility-intent proxy only.</x:v>
      </x:c>
    </x:row>
    <x:row r="88" ht="52" customHeight="1">
      <x:c r="A88" s="26" t="str">
        <x:v>SEO-KW-041</x:v>
      </x:c>
      <x:c r="B88" s="26" t="str">
        <x:v>keyword_proxy</x:v>
      </x:c>
      <x:c r="C88" s="26" t="str">
        <x:v>EG</x:v>
      </x:c>
      <x:c r="D88" s="26" t="str">
        <x:v>usb c hub power delivery pass through</x:v>
      </x:c>
      <x:c r="E88" s="26" t="str">
        <x:v>google_autocomplete_presence</x:v>
      </x:c>
      <x:c r="F88" s="26" t="str">
        <x:v>returned</x:v>
      </x:c>
      <x:c r="G88" s="26" t="str">
        <x:v>qualitative</x:v>
      </x:c>
      <x:c r="H88" s="26" t="str">
        <x:v>Returned under the Egypt-localized seed usb c hub power delivery.</x:v>
      </x:c>
      <x:c r="I88" s="26" t="str">
        <x:v>Google Autocomplete Egypt</x:v>
      </x:c>
      <x:c r="J88" s="47" t="str">
        <x:v>https://suggestqueries.google.com/complete/search?client=firefox&amp;hl=en&amp;gl=eg&amp;q=usb%20c%20hub%20power%20delivery</x:v>
      </x:c>
      <x:c r="K88" s="44" t="n">
        <x:v>46217.994571759256</x:v>
      </x:c>
      <x:c r="L88" s="26" t="str">
        <x:v>SOURCE_LINK_ONLY</x:v>
      </x:c>
      <x:c r="M88" s="26" t="str">
        <x:v>/guides/choose-usb-c-hub-egypt/</x:v>
      </x:c>
      <x:c r="N88" s="26" t="str">
        <x:v>Technical-explanation proxy only.</x:v>
      </x:c>
    </x:row>
    <x:row r="89" ht="52" customHeight="1">
      <x:c r="A89" s="26" t="str">
        <x:v>SEO-KW-042</x:v>
      </x:c>
      <x:c r="B89" s="26" t="str">
        <x:v>keyword_proxy</x:v>
      </x:c>
      <x:c r="C89" s="26" t="str">
        <x:v>EG</x:v>
      </x:c>
      <x:c r="D89" s="26" t="str">
        <x:v>كيفية اختيار هاب تايب سي</x:v>
      </x:c>
      <x:c r="E89" s="26" t="str">
        <x:v>google_autocomplete_expansion</x:v>
      </x:c>
      <x:c r="F89" s="26" t="str">
        <x:v>not_returned</x:v>
      </x:c>
      <x:c r="G89" s="26" t="str">
        <x:v>qualitative</x:v>
      </x:c>
      <x:c r="H89" s="26" t="str">
        <x:v>The Egypt-localized Arabic seed produced no suggestion expansion at capture time.</x:v>
      </x:c>
      <x:c r="I89" s="26" t="str">
        <x:v>Google Autocomplete Egypt Arabic</x:v>
      </x:c>
      <x:c r="J89" s="47" t="str">
        <x:v>https://suggestqueries.google.com/complete/search?client=firefox&amp;hl=ar&amp;gl=eg&amp;q=%D9%83%D9%8A%D9%81%D9%8A%D8%A9%20%D8%A7%D8%AE%D8%AA%D9%8A%D8%A7%D8%B1%20%D9%87%D8%A7%D8%A8%20%D8%AA%D8%A7%D9%8A%D8%A8%20%D8%B3%D9%8A</x:v>
      </x:c>
      <x:c r="K89" s="44" t="n">
        <x:v>46217.994571759256</x:v>
      </x:c>
      <x:c r="L89" s="26" t="str">
        <x:v>SOURCE_LINK_ONLY</x:v>
      </x:c>
      <x:c r="M89" s="26" t="str">
        <x:v>/guides/choose-usb-c-hub-egypt/</x:v>
      </x:c>
      <x:c r="N89" s="26" t="str">
        <x:v>Weak natural Arabic candidate; not demand evidence.</x:v>
      </x:c>
    </x:row>
    <x:row r="90" ht="52" customHeight="1">
      <x:c r="A90" s="26" t="str">
        <x:v>SEO-KW-043</x:v>
      </x:c>
      <x:c r="B90" s="26" t="str">
        <x:v>keyword_proxy</x:v>
      </x:c>
      <x:c r="C90" s="26" t="str">
        <x:v>EG</x:v>
      </x:c>
      <x:c r="D90" s="26" t="str">
        <x:v>laptop running hot</x:v>
      </x:c>
      <x:c r="E90" s="26" t="str">
        <x:v>google_autocomplete_presence</x:v>
      </x:c>
      <x:c r="F90" s="26" t="str">
        <x:v>returned</x:v>
      </x:c>
      <x:c r="G90" s="26" t="str">
        <x:v>qualitative</x:v>
      </x:c>
      <x:c r="H90" s="26" t="str">
        <x:v>The Egypt-localized Google suggestion response returned the exact query.</x:v>
      </x:c>
      <x:c r="I90" s="26" t="str">
        <x:v>Google Autocomplete Egypt</x:v>
      </x:c>
      <x:c r="J90" s="47" t="str">
        <x:v>https://suggestqueries.google.com/complete/search?client=firefox&amp;hl=en&amp;gl=eg&amp;q=laptop%20running%20hot</x:v>
      </x:c>
      <x:c r="K90" s="44" t="n">
        <x:v>46217.994571759256</x:v>
      </x:c>
      <x:c r="L90" s="26" t="str">
        <x:v>SOURCE_LINK_ONLY</x:v>
      </x:c>
      <x:c r="M90" s="26" t="str">
        <x:v>/guides/laptop-heat-posture-cable-fixes/</x:v>
      </x:c>
      <x:c r="N90" s="26" t="str">
        <x:v>Autocomplete presence is not volume or trend direction.</x:v>
      </x:c>
    </x:row>
    <x:row r="91" ht="52" customHeight="1">
      <x:c r="A91" s="26" t="str">
        <x:v>SEO-KW-044</x:v>
      </x:c>
      <x:c r="B91" s="26" t="str">
        <x:v>keyword_proxy</x:v>
      </x:c>
      <x:c r="C91" s="26" t="str">
        <x:v>EG</x:v>
      </x:c>
      <x:c r="D91" s="26" t="str">
        <x:v>laptop running hot and slow</x:v>
      </x:c>
      <x:c r="E91" s="26" t="str">
        <x:v>google_autocomplete_presence</x:v>
      </x:c>
      <x:c r="F91" s="26" t="str">
        <x:v>returned</x:v>
      </x:c>
      <x:c r="G91" s="26" t="str">
        <x:v>qualitative</x:v>
      </x:c>
      <x:c r="H91" s="26" t="str">
        <x:v>Returned under the Egypt-localized seed laptop running hot.</x:v>
      </x:c>
      <x:c r="I91" s="26" t="str">
        <x:v>Google Autocomplete Egypt</x:v>
      </x:c>
      <x:c r="J91" s="47" t="str">
        <x:v>https://suggestqueries.google.com/complete/search?client=firefox&amp;hl=en&amp;gl=eg&amp;q=laptop%20running%20hot</x:v>
      </x:c>
      <x:c r="K91" s="44" t="n">
        <x:v>46217.994571759256</x:v>
      </x:c>
      <x:c r="L91" s="26" t="str">
        <x:v>SOURCE_LINK_ONLY</x:v>
      </x:c>
      <x:c r="M91" s="26" t="str">
        <x:v>/guides/laptop-heat-posture-cable-fixes/</x:v>
      </x:c>
      <x:c r="N91" s="26" t="str">
        <x:v>Symptom modifier; proxy only.</x:v>
      </x:c>
    </x:row>
    <x:row r="92" ht="52" customHeight="1">
      <x:c r="A92" s="26" t="str">
        <x:v>SEO-KW-045</x:v>
      </x:c>
      <x:c r="B92" s="26" t="str">
        <x:v>keyword_proxy</x:v>
      </x:c>
      <x:c r="C92" s="26" t="str">
        <x:v>EG</x:v>
      </x:c>
      <x:c r="D92" s="26" t="str">
        <x:v>laptop running hot and loud</x:v>
      </x:c>
      <x:c r="E92" s="26" t="str">
        <x:v>google_autocomplete_presence</x:v>
      </x:c>
      <x:c r="F92" s="26" t="str">
        <x:v>returned</x:v>
      </x:c>
      <x:c r="G92" s="26" t="str">
        <x:v>qualitative</x:v>
      </x:c>
      <x:c r="H92" s="26" t="str">
        <x:v>Returned under the Egypt-localized seed laptop running hot.</x:v>
      </x:c>
      <x:c r="I92" s="26" t="str">
        <x:v>Google Autocomplete Egypt</x:v>
      </x:c>
      <x:c r="J92" s="47" t="str">
        <x:v>https://suggestqueries.google.com/complete/search?client=firefox&amp;hl=en&amp;gl=eg&amp;q=laptop%20running%20hot</x:v>
      </x:c>
      <x:c r="K92" s="44" t="n">
        <x:v>46217.994571759256</x:v>
      </x:c>
      <x:c r="L92" s="26" t="str">
        <x:v>SOURCE_LINK_ONLY</x:v>
      </x:c>
      <x:c r="M92" s="26" t="str">
        <x:v>/guides/laptop-heat-posture-cable-fixes/</x:v>
      </x:c>
      <x:c r="N92" s="26" t="str">
        <x:v>Symptom modifier; proxy only.</x:v>
      </x:c>
    </x:row>
    <x:row r="93" ht="52" customHeight="1">
      <x:c r="A93" s="26" t="str">
        <x:v>SEO-KW-046</x:v>
      </x:c>
      <x:c r="B93" s="26" t="str">
        <x:v>keyword_proxy</x:v>
      </x:c>
      <x:c r="C93" s="26" t="str">
        <x:v>EG</x:v>
      </x:c>
      <x:c r="D93" s="26" t="str">
        <x:v>سبب سخونة اللابتوب</x:v>
      </x:c>
      <x:c r="E93" s="26" t="str">
        <x:v>google_autocomplete_presence</x:v>
      </x:c>
      <x:c r="F93" s="26" t="str">
        <x:v>returned</x:v>
      </x:c>
      <x:c r="G93" s="26" t="str">
        <x:v>qualitative</x:v>
      </x:c>
      <x:c r="H93" s="26" t="str">
        <x:v>Returned under the Egypt-localized Arabic seed سخونة اللابتوب.</x:v>
      </x:c>
      <x:c r="I93" s="26" t="str">
        <x:v>Google Autocomplete Egypt Arabic</x:v>
      </x:c>
      <x:c r="J93" s="47" t="str">
        <x:v>https://suggestqueries.google.com/complete/search?client=firefox&amp;hl=ar&amp;gl=eg&amp;q=%D8%B3%D8%AE%D9%88%D9%86%D8%A9%20%D8%A7%D9%84%D9%84%D8%A7%D8%A8%D8%AA%D9%88%D8%A8</x:v>
      </x:c>
      <x:c r="K93" s="44" t="n">
        <x:v>46217.994571759256</x:v>
      </x:c>
      <x:c r="L93" s="26" t="str">
        <x:v>SOURCE_LINK_ONLY</x:v>
      </x:c>
      <x:c r="M93" s="26" t="str">
        <x:v>/guides/laptop-heat-posture-cable-fixes/</x:v>
      </x:c>
      <x:c r="N93" s="26" t="str">
        <x:v>Arabic cause-query proxy only.</x:v>
      </x:c>
    </x:row>
    <x:row r="94" ht="52" customHeight="1">
      <x:c r="A94" s="26" t="str">
        <x:v>SEO-KW-047</x:v>
      </x:c>
      <x:c r="B94" s="26" t="str">
        <x:v>keyword_proxy</x:v>
      </x:c>
      <x:c r="C94" s="26" t="str">
        <x:v>EG</x:v>
      </x:c>
      <x:c r="D94" s="26" t="str">
        <x:v>حل مشكلة سخونة اللابتوب</x:v>
      </x:c>
      <x:c r="E94" s="26" t="str">
        <x:v>google_autocomplete_presence</x:v>
      </x:c>
      <x:c r="F94" s="26" t="str">
        <x:v>returned</x:v>
      </x:c>
      <x:c r="G94" s="26" t="str">
        <x:v>qualitative</x:v>
      </x:c>
      <x:c r="H94" s="26" t="str">
        <x:v>Returned under the Egypt-localized Arabic seed حل سخونة اللابتوب.</x:v>
      </x:c>
      <x:c r="I94" s="26" t="str">
        <x:v>Google Autocomplete Egypt Arabic</x:v>
      </x:c>
      <x:c r="J94" s="47" t="str">
        <x:v>https://suggestqueries.google.com/complete/search?client=firefox&amp;hl=ar&amp;gl=eg&amp;q=%D8%AD%D9%84%20%D8%B3%D8%AE%D9%88%D9%86%D8%A9%20%D8%A7%D9%84%D9%84%D8%A7%D8%A8%D8%AA%D9%88%D8%A8</x:v>
      </x:c>
      <x:c r="K94" s="44" t="n">
        <x:v>46217.994571759256</x:v>
      </x:c>
      <x:c r="L94" s="26" t="str">
        <x:v>SOURCE_LINK_ONLY</x:v>
      </x:c>
      <x:c r="M94" s="26" t="str">
        <x:v>/guides/laptop-heat-posture-cable-fixes/</x:v>
      </x:c>
      <x:c r="N94" s="26" t="str">
        <x:v>Arabic fix-query proxy only.</x:v>
      </x:c>
    </x:row>
    <x:row r="95" ht="52" customHeight="1">
      <x:c r="A95" s="26" t="str">
        <x:v>SEO-KW-048</x:v>
      </x:c>
      <x:c r="B95" s="26" t="str">
        <x:v>keyword_proxy</x:v>
      </x:c>
      <x:c r="C95" s="26" t="str">
        <x:v>EG</x:v>
      </x:c>
      <x:c r="D95" s="26" t="str">
        <x:v>ارتفاع حرارة اللابتوب</x:v>
      </x:c>
      <x:c r="E95" s="26" t="str">
        <x:v>google_autocomplete_presence</x:v>
      </x:c>
      <x:c r="F95" s="26" t="str">
        <x:v>returned</x:v>
      </x:c>
      <x:c r="G95" s="26" t="str">
        <x:v>qualitative</x:v>
      </x:c>
      <x:c r="H95" s="26" t="str">
        <x:v>Returned under the Egypt-localized Arabic seed حرارة اللابتوب.</x:v>
      </x:c>
      <x:c r="I95" s="26" t="str">
        <x:v>Google Autocomplete Egypt Arabic</x:v>
      </x:c>
      <x:c r="J95" s="47" t="str">
        <x:v>https://suggestqueries.google.com/complete/search?client=firefox&amp;hl=ar&amp;gl=eg&amp;q=%D8%AD%D8%B1%D8%A7%D8%B1%D8%A9%20%D8%A7%D9%84%D9%84%D8%A7%D8%A8%D8%AA%D9%88%D8%A8</x:v>
      </x:c>
      <x:c r="K95" s="44" t="n">
        <x:v>46217.994571759256</x:v>
      </x:c>
      <x:c r="L95" s="26" t="str">
        <x:v>SOURCE_LINK_ONLY</x:v>
      </x:c>
      <x:c r="M95" s="26" t="str">
        <x:v>/guides/laptop-heat-posture-cable-fixes/</x:v>
      </x:c>
      <x:c r="N95" s="26" t="str">
        <x:v>Arabic symptom-query proxy only.</x:v>
      </x:c>
    </x:row>
    <x:row r="96" ht="52" customHeight="1">
      <x:c r="A96" s="26" t="str">
        <x:v>SEO-SERP-001</x:v>
      </x:c>
      <x:c r="B96" s="26" t="str">
        <x:v>source_access_limit</x:v>
      </x:c>
      <x:c r="C96" s="26" t="str">
        <x:v>EG</x:v>
      </x:c>
      <x:c r="D96" s="26" t="str">
        <x:v>Google Trends Egypt comparison</x:v>
      </x:c>
      <x:c r="E96" s="26" t="str">
        <x:v>http_access_result</x:v>
      </x:c>
      <x:c r="F96" s="26" t="str">
        <x:v>rate_limited</x:v>
      </x:c>
      <x:c r="G96" s="26" t="str">
        <x:v>qualitative</x:v>
      </x:c>
      <x:c r="H96" s="26" t="str">
        <x:v>The official Trends API request for an Egypt 12-month comparison returned HTTP 429, so no indexed-interest values or trend direction were recorded.</x:v>
      </x:c>
      <x:c r="I96" s="26" t="str">
        <x:v>Google Trends</x:v>
      </x:c>
      <x:c r="J96" s="47" t="str">
        <x:v>https://trends.google.com/trends/explore?date=today%2012-m&amp;geo=EG&amp;q=usb%20c%20hub,laptop%20stand,laptop%20cooling%20pad,ergonomic%20mouse</x:v>
      </x:c>
      <x:c r="K96" s="44" t="n">
        <x:v>46217.994571759256</x:v>
      </x:c>
      <x:c r="L96" s="26" t="str">
        <x:v>SOURCE_LINK_ONLY</x:v>
      </x:c>
      <x:c r="M96" s="26" t="str">
        <x:v>research/reports/seo-trend-research.md</x:v>
      </x:c>
      <x:c r="N96" s="26" t="str">
        <x:v>Access limitation only; not a demand metric.</x:v>
      </x:c>
    </x:row>
    <x:row r="97" ht="52" customHeight="1">
      <x:c r="A97" s="26" t="str">
        <x:v>SEO-SERP-002</x:v>
      </x:c>
      <x:c r="B97" s="26" t="str">
        <x:v>retailer_category_presence</x:v>
      </x:c>
      <x:c r="C97" s="26" t="str">
        <x:v>EG</x:v>
      </x:c>
      <x:c r="D97" s="26" t="str">
        <x:v>USB-C hubs</x:v>
      </x:c>
      <x:c r="E97" s="26" t="str">
        <x:v>retailer_category_presence</x:v>
      </x:c>
      <x:c r="F97" s="26" t="str">
        <x:v>present</x:v>
      </x:c>
      <x:c r="G97" s="26" t="str">
        <x:v>qualitative</x:v>
      </x:c>
      <x:c r="H97" s="26" t="str">
        <x:v>Noon Egypt exposes a current best-sellers hub category with multi-port USB-C products, supporting local commercial availability and terminology.</x:v>
      </x:c>
      <x:c r="I97" s="26" t="str">
        <x:v>Noon Egypt</x:v>
      </x:c>
      <x:c r="J97" s="47" t="str">
        <x:v>https://www.noon.com/egypt-en/best-sellers/hubs-22673/</x:v>
      </x:c>
      <x:c r="K97" s="44" t="n">
        <x:v>46217.994571759256</x:v>
      </x:c>
      <x:c r="L97" s="26" t="str">
        <x:v>SOURCE_LINK_ONLY</x:v>
      </x:c>
      <x:c r="M97" s="26" t="str">
        <x:v>/products/usb-c-hub/</x:v>
      </x:c>
      <x:c r="N97" s="26" t="str">
        <x:v>Category presence is not volume and does not select a product.</x:v>
      </x:c>
    </x:row>
    <x:row r="98" ht="52" customHeight="1">
      <x:c r="A98" s="26" t="str">
        <x:v>SEO-SERP-003</x:v>
      </x:c>
      <x:c r="B98" s="26" t="str">
        <x:v>retailer_listing_presence</x:v>
      </x:c>
      <x:c r="C98" s="26" t="str">
        <x:v>EG</x:v>
      </x:c>
      <x:c r="D98" s="26" t="str">
        <x:v>laptop stand</x:v>
      </x:c>
      <x:c r="E98" s="26" t="str">
        <x:v>retailer_listing_presence</x:v>
      </x:c>
      <x:c r="F98" s="26" t="str">
        <x:v>present</x:v>
      </x:c>
      <x:c r="G98" s="26" t="str">
        <x:v>qualitative</x:v>
      </x:c>
      <x:c r="H98" s="26" t="str">
        <x:v>IKEA Egypt has a current English product page for a foldable laptop support and describes eye-level/posture use.</x:v>
      </x:c>
      <x:c r="I98" s="26" t="str">
        <x:v>IKEA Egypt</x:v>
      </x:c>
      <x:c r="J98" s="47" t="str">
        <x:v>https://www.ikea.com/eg/en/p/lanespelare-laptop-support-foldable-blue-20613065/</x:v>
      </x:c>
      <x:c r="K98" s="44" t="n">
        <x:v>46217.994571759256</x:v>
      </x:c>
      <x:c r="L98" s="26" t="str">
        <x:v>SOURCE_LINK_ONLY</x:v>
      </x:c>
      <x:c r="M98" s="26" t="str">
        <x:v>/products/laptop-stand/</x:v>
      </x:c>
      <x:c r="N98" s="26" t="str">
        <x:v>Retailer observation only; claims need direct review before publication.</x:v>
      </x:c>
    </x:row>
    <x:row r="99" ht="52" customHeight="1">
      <x:c r="A99" s="26" t="str">
        <x:v>SEO-SERP-004</x:v>
      </x:c>
      <x:c r="B99" s="26" t="str">
        <x:v>retailer_listing_presence</x:v>
      </x:c>
      <x:c r="C99" s="26" t="str">
        <x:v>EG</x:v>
      </x:c>
      <x:c r="D99" s="26" t="str">
        <x:v>laptop cooling pad</x:v>
      </x:c>
      <x:c r="E99" s="26" t="str">
        <x:v>retailer_listing_presence</x:v>
      </x:c>
      <x:c r="F99" s="26" t="str">
        <x:v>present</x:v>
      </x:c>
      <x:c r="G99" s="26" t="str">
        <x:v>qualitative</x:v>
      </x:c>
      <x:c r="H99" s="26" t="str">
        <x:v>Noon Egypt has a current laptop cooling-pad listing, supporting local category and phrase presence.</x:v>
      </x:c>
      <x:c r="I99" s="26" t="str">
        <x:v>Noon Egypt</x:v>
      </x:c>
      <x:c r="J99" s="47" t="str">
        <x:v>https://www.noon.com/egypt-en/laptop-cooling-pad-with-4-quiet-fans-and-led-lights-powerful-air-cooling-for-laptops/Z849AF67E7759AA06FB32Z/p/</x:v>
      </x:c>
      <x:c r="K99" s="44" t="n">
        <x:v>46217.994571759256</x:v>
      </x:c>
      <x:c r="L99" s="26" t="str">
        <x:v>SOURCE_LINK_ONLY</x:v>
      </x:c>
      <x:c r="M99" s="26" t="str">
        <x:v>/products/laptop-cooling-pad/</x:v>
      </x:c>
      <x:c r="N99" s="26" t="str">
        <x:v>Retailer observation only; no performance inference.</x:v>
      </x:c>
    </x:row>
    <x:row r="100" ht="52" customHeight="1">
      <x:c r="A100" s="26" t="str">
        <x:v>SEO-SERP-005</x:v>
      </x:c>
      <x:c r="B100" s="26" t="str">
        <x:v>retailer_listing_presence</x:v>
      </x:c>
      <x:c r="C100" s="26" t="str">
        <x:v>EG</x:v>
      </x:c>
      <x:c r="D100" s="26" t="str">
        <x:v>under desk cable management tray</x:v>
      </x:c>
      <x:c r="E100" s="26" t="str">
        <x:v>retailer_listing_presence</x:v>
      </x:c>
      <x:c r="F100" s="26" t="str">
        <x:v>present</x:v>
      </x:c>
      <x:c r="G100" s="26" t="str">
        <x:v>qualitative</x:v>
      </x:c>
      <x:c r="H100" s="26" t="str">
        <x:v>Noon Egypt has a current under-desk cable-management tray listing using wire-management and cord-organization language.</x:v>
      </x:c>
      <x:c r="I100" s="26" t="str">
        <x:v>Noon Egypt</x:v>
      </x:c>
      <x:c r="J100" s="47" t="str">
        <x:v>https://www.noon.com/egypt-en/under-desk-cable-management-tray-black-with-clamp-for-wire-management-cord-organization-box-for-office-home/Z856C2530446425AD6097Z/p/</x:v>
      </x:c>
      <x:c r="K100" s="44" t="n">
        <x:v>46217.994571759256</x:v>
      </x:c>
      <x:c r="L100" s="26" t="str">
        <x:v>SOURCE_LINK_ONLY</x:v>
      </x:c>
      <x:c r="M100" s="26" t="str">
        <x:v>/products/desk-cable-management/</x:v>
      </x:c>
      <x:c r="N100" s="26" t="str">
        <x:v>Retailer terminology proxy only.</x:v>
      </x:c>
    </x:row>
    <x:row r="101" ht="52" customHeight="1">
      <x:c r="A101" s="26" t="str">
        <x:v>SEO-SERP-006</x:v>
      </x:c>
      <x:c r="B101" s="26" t="str">
        <x:v>retailer_category_presence</x:v>
      </x:c>
      <x:c r="C101" s="26" t="str">
        <x:v>EG</x:v>
      </x:c>
      <x:c r="D101" s="26" t="str">
        <x:v>ergonomic mouse</x:v>
      </x:c>
      <x:c r="E101" s="26" t="str">
        <x:v>retailer_category_presence</x:v>
      </x:c>
      <x:c r="F101" s="26" t="str">
        <x:v>present</x:v>
      </x:c>
      <x:c r="G101" s="26" t="str">
        <x:v>qualitative</x:v>
      </x:c>
      <x:c r="H101" s="26" t="str">
        <x:v>Noon Egypt's current mouse best-sellers page includes ergonomic and vertical mouse variants, supporting category prominence.</x:v>
      </x:c>
      <x:c r="I101" s="26" t="str">
        <x:v>Noon Egypt</x:v>
      </x:c>
      <x:c r="J101" s="47" t="str">
        <x:v>https://www.noon.com/egypt-en/best-sellers/mouses/</x:v>
      </x:c>
      <x:c r="K101" s="44" t="n">
        <x:v>46217.994571759256</x:v>
      </x:c>
      <x:c r="L101" s="26" t="str">
        <x:v>SOURCE_LINK_ONLY</x:v>
      </x:c>
      <x:c r="M101" s="26" t="str">
        <x:v>/products/ergonomic-mouse/</x:v>
      </x:c>
      <x:c r="N101" s="26" t="str">
        <x:v>Category presence is not volume and does not select a product.</x:v>
      </x:c>
    </x:row>
    <x:row r="102" ht="52" customHeight="1">
      <x:c r="A102" s="26" t="str">
        <x:v>SEO-SERP-007</x:v>
      </x:c>
      <x:c r="B102" s="26" t="str">
        <x:v>serp_content_observation</x:v>
      </x:c>
      <x:c r="C102" s="26" t="str">
        <x:v>Global</x:v>
      </x:c>
      <x:c r="D102" s="26" t="str">
        <x:v>how to choose usb c hub</x:v>
      </x:c>
      <x:c r="E102" s="26" t="str">
        <x:v>editorial_guide_presence</x:v>
      </x:c>
      <x:c r="F102" s="26" t="str">
        <x:v>present</x:v>
      </x:c>
      <x:c r="G102" s="26" t="str">
        <x:v>qualitative</x:v>
      </x:c>
      <x:c r="H102" s="26" t="str">
        <x:v>A current manufacturer guide covers choosing a USB-C hub by device, ports, and setup, indicating mature global guide competition.</x:v>
      </x:c>
      <x:c r="I102" s="26" t="str">
        <x:v>Anker</x:v>
      </x:c>
      <x:c r="J102" s="47" t="str">
        <x:v>https://www.anker.com/blogs/hubs-and-docks/how-to-choose-the-right-usb-c-hub</x:v>
      </x:c>
      <x:c r="K102" s="44" t="n">
        <x:v>46217.994571759256</x:v>
      </x:c>
      <x:c r="L102" s="26" t="str">
        <x:v>SOURCE_LINK_ONLY</x:v>
      </x:c>
      <x:c r="M102" s="26" t="str">
        <x:v>/guides/choose-usb-c-hub-egypt/</x:v>
      </x:c>
      <x:c r="N102" s="26" t="str">
        <x:v>Global manufacturer content; Egypt-local provider and Arabic-aware gap remains an inference.</x:v>
      </x:c>
    </x:row>
    <x:row r="103" ht="52" customHeight="1">
      <x:c r="A103" s="26" t="str">
        <x:v>SEO-SERP-008</x:v>
      </x:c>
      <x:c r="B103" s="26" t="str">
        <x:v>serp_content_observation</x:v>
      </x:c>
      <x:c r="C103" s="26" t="str">
        <x:v>Global</x:v>
      </x:c>
      <x:c r="D103" s="26" t="str">
        <x:v>fix desk setup</x:v>
      </x:c>
      <x:c r="E103" s="26" t="str">
        <x:v>editorial_guide_presence</x:v>
      </x:c>
      <x:c r="F103" s="26" t="str">
        <x:v>present</x:v>
      </x:c>
      <x:c r="G103" s="26" t="str">
        <x:v>qualitative</x:v>
      </x:c>
      <x:c r="H103" s="26" t="str">
        <x:v>A current PCWorld article addresses quickly fixing a desk setup, showing broad global editorial competition for setup advice.</x:v>
      </x:c>
      <x:c r="I103" s="26" t="str">
        <x:v>PCWorld</x:v>
      </x:c>
      <x:c r="J103" s="47" t="str">
        <x:v>https://www.pcworld.com/article/3121924/take-10-minutes-to-fix-your-desk-setup-your-back-will-thank-you.html</x:v>
      </x:c>
      <x:c r="K103" s="44" t="n">
        <x:v>46217.994571759256</x:v>
      </x:c>
      <x:c r="L103" s="26" t="str">
        <x:v>SOURCE_LINK_ONLY</x:v>
      </x:c>
      <x:c r="M103" s="26" t="str">
        <x:v>/guides/fix-laptop-desk-setup-egypt/</x:v>
      </x:c>
      <x:c r="N103" s="26" t="str">
        <x:v>Global source; no Egypt-specific commercial path.</x:v>
      </x:c>
    </x:row>
    <x:row r="104" ht="52" customHeight="1">
      <x:c r="A104" s="26" t="str">
        <x:v>SEO-SERP-009</x:v>
      </x:c>
      <x:c r="B104" s="26" t="str">
        <x:v>local_discussion_presence</x:v>
      </x:c>
      <x:c r="C104" s="26" t="str">
        <x:v>EG</x:v>
      </x:c>
      <x:c r="D104" s="26" t="str">
        <x:v>حرارة اللاب توب</x:v>
      </x:c>
      <x:c r="E104" s="26" t="str">
        <x:v>local_discussion_presence</x:v>
      </x:c>
      <x:c r="F104" s="26" t="str">
        <x:v>present</x:v>
      </x:c>
      <x:c r="G104" s="26" t="str">
        <x:v>qualitative</x:v>
      </x:c>
      <x:c r="H104" s="26" t="str">
        <x:v>A recent EgyptGaming Arabic discussion asks about high laptop temperatures, showing current local problem language and uncertainty.</x:v>
      </x:c>
      <x:c r="I104" s="26" t="str">
        <x:v>Reddit r/EgyptGaming</x:v>
      </x:c>
      <x:c r="J104" s="47" t="str">
        <x:v>https://www.reddit.com/r/EgyptGaming/comments/1ti7dd9/</x:v>
      </x:c>
      <x:c r="K104" s="44" t="n">
        <x:v>46217.994571759256</x:v>
      </x:c>
      <x:c r="L104" s="26" t="str">
        <x:v>SOURCE_LINK_ONLY</x:v>
      </x:c>
      <x:c r="M104" s="26" t="str">
        <x:v>/guides/laptop-heat-posture-cable-fixes/</x:v>
      </x:c>
      <x:c r="N104" s="26" t="str">
        <x:v>User-generated qualitative signal; not technical authority or volume.</x:v>
      </x:c>
    </x:row>
    <x:row r="105" ht="52" customHeight="1">
      <x:c r="A105" s="26" t="str">
        <x:v>SEO-SERP-010</x:v>
      </x:c>
      <x:c r="B105" s="26" t="str">
        <x:v>serp_content_observation</x:v>
      </x:c>
      <x:c r="C105" s="26" t="str">
        <x:v>EG</x:v>
      </x:c>
      <x:c r="D105" s="26" t="str">
        <x:v>computer ergonomics</x:v>
      </x:c>
      <x:c r="E105" s="26" t="str">
        <x:v>local_reference_presence</x:v>
      </x:c>
      <x:c r="F105" s="26" t="str">
        <x:v>present</x:v>
      </x:c>
      <x:c r="G105" s="26" t="str">
        <x:v>qualitative</x:v>
      </x:c>
      <x:c r="H105" s="26" t="str">
        <x:v>Menoufia University hosts a computer-ergonomics reference that surfaces for Egypt-context searches, but it is not a localized buyer guide.</x:v>
      </x:c>
      <x:c r="I105" s="26" t="str">
        <x:v>Menoufia University</x:v>
      </x:c>
      <x:c r="J105" s="47" t="str">
        <x:v>https://mu.menofia.edu.eg/PrtlFiles/Faculties/med/Portal/Files/computer-ergonomics1%282%29.pdf</x:v>
      </x:c>
      <x:c r="K105" s="44" t="n">
        <x:v>46217.994571759256</x:v>
      </x:c>
      <x:c r="L105" s="26" t="str">
        <x:v>SOURCE_LINK_ONLY</x:v>
      </x:c>
      <x:c r="M105" s="26" t="str">
        <x:v>/guides/fix-laptop-desk-setup-egypt/</x:v>
      </x:c>
      <x:c r="N105" s="26" t="str">
        <x:v>Local institutional reference; publication date and scope should be checked before claims.</x:v>
      </x:c>
    </x:row>
    <x:row r="106" ht="52" customHeight="1">
      <x:c r="A106" s="26" t="str">
        <x:v>SEO-SERP-011</x:v>
      </x:c>
      <x:c r="B106" s="26" t="str">
        <x:v>technical_reference_presence</x:v>
      </x:c>
      <x:c r="C106" s="26" t="str">
        <x:v>MENA</x:v>
      </x:c>
      <x:c r="D106" s="26" t="str">
        <x:v>Arabic laptop heat guidance</x:v>
      </x:c>
      <x:c r="E106" s="26" t="str">
        <x:v>arabic_reference_presence</x:v>
      </x:c>
      <x:c r="F106" s="26" t="str">
        <x:v>present</x:v>
      </x:c>
      <x:c r="G106" s="26" t="str">
        <x:v>qualitative</x:v>
      </x:c>
      <x:c r="H106" s="26" t="str">
        <x:v>An Arabic MSI notebook manual warns against covering laptop ventilation, providing an Arabic primary-source terminology reference for safe heat guidance.</x:v>
      </x:c>
      <x:c r="I106" s="26" t="str">
        <x:v>MSI</x:v>
      </x:c>
      <x:c r="J106" s="47" t="str">
        <x:v>https://download.msi.com/archive/mnu_exe/nb/MS-17E8_MS-17E7_v1.0_Arabic.pdf</x:v>
      </x:c>
      <x:c r="K106" s="44" t="n">
        <x:v>46217.994571759256</x:v>
      </x:c>
      <x:c r="L106" s="26" t="str">
        <x:v>SOURCE_LINK_ONLY</x:v>
      </x:c>
      <x:c r="M106" s="26" t="str">
        <x:v>/guides/laptop-heat-posture-cable-fixes/</x:v>
      </x:c>
      <x:c r="N106" s="26" t="str">
        <x:v>Model-specific manual; use only for the stated ventilation guidance.</x:v>
      </x:c>
    </x:row>
    <x:row r="107" ht="52" customHeight="1">
      <x:c r="A107" s="27" t="str">
        <x:v>SEO-SERP-012</x:v>
      </x:c>
      <x:c r="B107" s="27" t="str">
        <x:v>retailer_listing_presence</x:v>
      </x:c>
      <x:c r="C107" s="27" t="str">
        <x:v>EG</x:v>
      </x:c>
      <x:c r="D107" s="27" t="str">
        <x:v>Powerextend 5-in-1 USB C Hub</x:v>
      </x:c>
      <x:c r="E107" s="27" t="str">
        <x:v>arabic_retailer_term_presence</x:v>
      </x:c>
      <x:c r="F107" s="27" t="str">
        <x:v>present</x:v>
      </x:c>
      <x:c r="G107" s="27" t="str">
        <x:v>qualitative</x:v>
      </x:c>
      <x:c r="H107" s="27" t="str">
        <x:v>A current Noon Egypt Arabic USB-C hub listing mixes Arabic with USB C and HDMI terms, supporting mixed-script product vocabulary.</x:v>
      </x:c>
      <x:c r="I107" s="27" t="str">
        <x:v>Noon Egypt Arabic</x:v>
      </x:c>
      <x:c r="J107" s="48" t="str">
        <x:v>https://www.noon.com/egypt-ar/usb-c-hub-332-usb-c-hub-5-in-1-with-4k-hdmi-display-5gbps-data-port-and-2-usb-a-ports-for-macbook-pro-air-dell-xps-lenovo-thinkpad-hp-laptops-more/N53391902A/p/</x:v>
      </x:c>
      <x:c r="K107" s="45" t="n">
        <x:v>46217.994571759256</x:v>
      </x:c>
      <x:c r="L107" s="27" t="str">
        <x:v>SOURCE_LINK_ONLY</x:v>
      </x:c>
      <x:c r="M107" s="27" t="str">
        <x:v>/products/usb-c-hub/</x:v>
      </x:c>
      <x:c r="N107" s="27" t="str">
        <x:v>Retailer wording is not volume or an editorial recommendation.</x:v>
      </x:c>
    </x:row>
  </x:sheetData>
  <x:mergeCells>
    <x:mergeCell ref="A1:N1"/>
    <x:mergeCell ref="A2:N2"/>
  </x:mergeCells>
  <x:conditionalFormatting sqref="L6:L107">
    <x:cfRule type="containsText" dxfId="4" priority="1" operator="containsText" text="ORIGINAL"/>
    <x:cfRule type="containsText" dxfId="5" priority="2" operator="containsText" text="SOURCE_LINK_ONLY"/>
  </x:conditionalFormatting>
  <x:pageMargins left="0.7" right="0.7" top="0.75" bottom="0.75" header="0.3" footer="0.3"/>
  <x:tableParts count="1">
    <x:tablePart xmlns:r="http://schemas.openxmlformats.org/officeDocument/2006/relationships" r:id="Rd808c720f304445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43" hidden="0" customWidth="1"/>
    <x:col min="3" max="3" width="28" hidden="0" customWidth="1"/>
    <x:col min="4" max="4" width="55" hidden="0" customWidth="1"/>
    <x:col min="5" max="5" width="42" hidden="0" customWidth="1"/>
    <x:col min="6" max="6" width="55" hidden="0" customWidth="1"/>
    <x:col min="7" max="7" width="16" hidden="0" customWidth="1"/>
    <x:col min="8" max="8" width="55" hidden="0" customWidth="1"/>
    <x:col min="9" max="9" width="43" hidden="0" customWidth="1"/>
    <x:col min="10" max="10" width="24" hidden="0" customWidth="1"/>
  </x:cols>
  <x:sheetData>
    <x:row r="1" ht="34" customHeight="1">
      <x:c r="A1" s="3" t="str">
        <x:v>SETUP SAHLA / CONTENT MAP</x:v>
      </x:c>
      <x:c r="B1" s="3" t="str">
        <x:v>SETUP SAHLA / CONTENT MAP</x:v>
      </x:c>
      <x:c r="C1" s="3" t="str">
        <x:v>SETUP SAHLA / CONTENT MAP</x:v>
      </x:c>
      <x:c r="D1" s="3" t="str">
        <x:v>SETUP SAHLA / CONTENT MAP</x:v>
      </x:c>
      <x:c r="E1" s="3" t="str">
        <x:v>SETUP SAHLA / CONTENT MAP</x:v>
      </x:c>
      <x:c r="F1" s="3" t="str">
        <x:v>SETUP SAHLA / CONTENT MAP</x:v>
      </x:c>
      <x:c r="G1" s="3" t="str">
        <x:v>SETUP SAHLA / CONTENT MAP</x:v>
      </x:c>
      <x:c r="H1" s="3" t="str">
        <x:v>SETUP SAHLA / CONTENT MAP</x:v>
      </x:c>
      <x:c r="I1" s="3" t="str">
        <x:v>SETUP SAHLA / CONTENT MAP</x:v>
      </x:c>
      <x:c r="J1" s="3" t="str">
        <x:v>SETUP SAHLA / CONTENT MAP</x:v>
      </x:c>
    </x:row>
    <x:row r="2" ht="28" customHeight="1">
      <x:c r="A2" s="7" t="str">
        <x:v>Five commercial fit routes and three launch guides. Content routes, CTAs, internal links, and evidence declarations are sourced from the corrected editorial map and canonical product records.</x:v>
      </x:c>
      <x:c r="B2" s="7" t="str">
        <x:v>Five commercial fit routes and three launch guides. Content routes, CTAs, internal links, and evidence declarations are sourced from the corrected editorial map and canonical product records.</x:v>
      </x:c>
      <x:c r="C2" s="7" t="str">
        <x:v>Five commercial fit routes and three launch guides. Content routes, CTAs, internal links, and evidence declarations are sourced from the corrected editorial map and canonical product records.</x:v>
      </x:c>
      <x:c r="D2" s="7" t="str">
        <x:v>Five commercial fit routes and three launch guides. Content routes, CTAs, internal links, and evidence declarations are sourced from the corrected editorial map and canonical product records.</x:v>
      </x:c>
      <x:c r="E2" s="7" t="str">
        <x:v>Five commercial fit routes and three launch guides. Content routes, CTAs, internal links, and evidence declarations are sourced from the corrected editorial map and canonical product records.</x:v>
      </x:c>
      <x:c r="F2" s="7" t="str">
        <x:v>Five commercial fit routes and three launch guides. Content routes, CTAs, internal links, and evidence declarations are sourced from the corrected editorial map and canonical product records.</x:v>
      </x:c>
      <x:c r="G2" s="7" t="str">
        <x:v>Five commercial fit routes and three launch guides. Content routes, CTAs, internal links, and evidence declarations are sourced from the corrected editorial map and canonical product records.</x:v>
      </x:c>
      <x:c r="H2" s="7" t="str">
        <x:v>Five commercial fit routes and three launch guides. Content routes, CTAs, internal links, and evidence declarations are sourced from the corrected editorial map and canonical product records.</x:v>
      </x:c>
      <x:c r="I2" s="7" t="str">
        <x:v>Five commercial fit routes and three launch guides. Content routes, CTAs, internal links, and evidence declarations are sourced from the corrected editorial map and canonical product records.</x:v>
      </x:c>
      <x:c r="J2" s="7" t="str">
        <x:v>Five commercial fit routes and three launch guides. Content routes, CTAs, internal links, and evidence declarations are sourced from the corrected editorial map and canonical product records.</x:v>
      </x:c>
    </x:row>
    <x:row r="3" ht="9" customHeight="1"/>
    <x:row r="5" ht="34" customHeight="1">
      <x:c r="A5" s="15" t="str">
        <x:v>Type</x:v>
      </x:c>
      <x:c r="B5" s="16" t="str">
        <x:v>Route</x:v>
      </x:c>
      <x:c r="C5" s="16" t="str">
        <x:v>Primary keyword</x:v>
      </x:c>
      <x:c r="D5" s="16" t="str">
        <x:v>Role / friction</x:v>
      </x:c>
      <x:c r="E5" s="16" t="str">
        <x:v>Primary CTA</x:v>
      </x:c>
      <x:c r="F5" s="16" t="str">
        <x:v>Internal links</x:v>
      </x:c>
      <x:c r="G5" s="16" t="str">
        <x:v>Internal link count</x:v>
      </x:c>
      <x:c r="H5" s="16" t="str">
        <x:v>Evidence IDs</x:v>
      </x:c>
      <x:c r="I5" s="16" t="str">
        <x:v>Source file</x:v>
      </x:c>
      <x:c r="J5" s="17" t="str">
        <x:v>Launch state</x:v>
      </x:c>
    </x:row>
    <x:row r="6" ht="68" customHeight="1">
      <x:c r="A6" s="25" t="str">
        <x:v>Guide</x:v>
      </x:c>
      <x:c r="B6" s="25" t="str">
        <x:v>/guides/fix-laptop-desk-setup-egypt/</x:v>
      </x:c>
      <x:c r="C6" s="25" t="str">
        <x:v>laptop desk setup</x:v>
      </x:c>
      <x:c r="D6" s="25" t="str">
        <x:v>Top-of-funnel five-cluster diagnostic</x:v>
      </x:c>
      <x:c r="E6" s="25" t="str">
        <x:v>Check the five product fit pages -&gt; /products/</x:v>
      </x:c>
      <x:c r="F6" s="25" t="str">
        <x:v>/guides/choose-usb-c-hub-egypt/
/products/laptop-stand/
/products/laptop-cooling-pad/
/products/desk-cable-management/
/products/ergonomic-mouse/
/products/</x:v>
      </x:c>
      <x:c r="G6" s="25" t="n">
        <x:v>6</x:v>
      </x:c>
      <x:c r="H6" s="25" t="str">
        <x:v>SEO-KW-031, SEO-KW-032, SEO-KW-033, SEO-KW-034, PP-E001, PP-E007, PP-E032, PP-E035, PP-E017, PP-E019</x:v>
      </x:c>
      <x:c r="I6" s="25" t="str">
        <x:v>content/blogs/desk-setup-diagnostic.md</x:v>
      </x:c>
      <x:c r="J6" s="25" t="str">
        <x:v>READY FOR LAUNCH REVIEW</x:v>
      </x:c>
    </x:row>
    <x:row r="7" ht="68" customHeight="1">
      <x:c r="A7" s="26" t="str">
        <x:v>Guide</x:v>
      </x:c>
      <x:c r="B7" s="26" t="str">
        <x:v>/guides/choose-usb-c-hub-egypt/</x:v>
      </x:c>
      <x:c r="C7" s="26" t="str">
        <x:v>how to choose usb c hub</x:v>
      </x:c>
      <x:c r="D7" s="26" t="str">
        <x:v>Mid-funnel USB-C hub selection guide</x:v>
      </x:c>
      <x:c r="E7" s="26" t="str">
        <x:v>Check the Anker 332 evidence page -&gt; /products/usb-c-hub/</x:v>
      </x:c>
      <x:c r="F7" s="26" t="str">
        <x:v>/products/usb-c-hub/
/guides/fix-laptop-desk-setup-egypt/
/guides/laptop-heat-posture-cable-fixes/</x:v>
      </x:c>
      <x:c r="G7" s="26" t="n">
        <x:v>3</x:v>
      </x:c>
      <x:c r="H7" s="26" t="str">
        <x:v>SEO-KW-037, SEO-KW-038, SEO-KW-040, SEO-KW-041, PP-E001, PP-E028, PP-E003, PP-E005, PP-E027, PP-E002</x:v>
      </x:c>
      <x:c r="I7" s="26" t="str">
        <x:v>content/blogs/usb-c-hub-buying-guide.md</x:v>
      </x:c>
      <x:c r="J7" s="26" t="str">
        <x:v>READY FOR LAUNCH REVIEW</x:v>
      </x:c>
    </x:row>
    <x:row r="8" ht="68" customHeight="1">
      <x:c r="A8" s="26" t="str">
        <x:v>Guide</x:v>
      </x:c>
      <x:c r="B8" s="26" t="str">
        <x:v>/guides/laptop-heat-posture-cable-fixes/</x:v>
      </x:c>
      <x:c r="C8" s="26" t="str">
        <x:v>laptop running hot</x:v>
      </x:c>
      <x:c r="D8" s="26" t="str">
        <x:v>Mid-funnel screen-height, airflow-space, and cable-routing workflow</x:v>
      </x:c>
      <x:c r="E8" s="26" t="str">
        <x:v>Check the Havit F2069 compatibility page -&gt; /products/laptop-cooling-pad/</x:v>
      </x:c>
      <x:c r="F8" s="26" t="str">
        <x:v>/products/laptop-stand/
/products/laptop-cooling-pad/
/products/desk-cable-management/
/guides/fix-laptop-desk-setup-egypt/
/guides/choose-usb-c-hub-egypt/</x:v>
      </x:c>
      <x:c r="G8" s="26" t="n">
        <x:v>5</x:v>
      </x:c>
      <x:c r="H8" s="26" t="str">
        <x:v>SEO-KW-043, SEO-KW-044, SEO-KW-045, SEO-KW-046, PP-E007, PP-E032, PP-E035, PP-E017, PP-E030, PP-E018, AFF-004</x:v>
      </x:c>
      <x:c r="I8" s="26" t="str">
        <x:v>content/blogs/thermal-posture-cable-workflow.md</x:v>
      </x:c>
      <x:c r="J8" s="26" t="str">
        <x:v>READY FOR LAUNCH REVIEW</x:v>
      </x:c>
    </x:row>
    <x:row r="9" ht="68" customHeight="1">
      <x:c r="A9" s="26" t="str">
        <x:v>Product fit page</x:v>
      </x:c>
      <x:c r="B9" s="26" t="str">
        <x:v>/products/usb-c-hub/</x:v>
      </x:c>
      <x:c r="C9" s="26" t="str">
        <x:v>usb c hub</x:v>
      </x:c>
      <x:c r="D9" s="26" t="str">
        <x:v>A USB-C laptop has too few data ports and needs a verified path to HDMI plus pass-through charging.</x:v>
      </x:c>
      <x:c r="E9" s="26" t="str">
        <x:v>Check current price on named retailer</x:v>
      </x:c>
      <x:c r="F9" s="26" t="str">
        <x:v>/products/
/guides/choose-usb-c-hub-egypt/</x:v>
      </x:c>
      <x:c r="G9" s="26" t="n">
        <x:f>MAX(0,LEN(F9)-LEN(SUBSTITUTE(F9,CHAR(10),""))+1)</x:f>
        <x:v>2</x:v>
      </x:c>
      <x:c r="H9" s="26" t="str">
        <x:v>PP-E001, PP-E027, PP-E002, PP-E028</x:v>
      </x:c>
      <x:c r="I9" s="26" t="str">
        <x:v>data/products.json</x:v>
      </x:c>
      <x:c r="J9" s="26" t="str">
        <x:v>READY FOR LAUNCH REVIEW</x:v>
      </x:c>
    </x:row>
    <x:row r="10" ht="68" customHeight="1">
      <x:c r="A10" s="26" t="str">
        <x:v>Product fit page</x:v>
      </x:c>
      <x:c r="B10" s="26" t="str">
        <x:v>/products/laptop-stand/</x:v>
      </x:c>
      <x:c r="C10" s="26" t="str">
        <x:v>laptop stand</x:v>
      </x:c>
      <x:c r="D10" s="26" t="str">
        <x:v>A laptop screen sits too low for a desk workflow and needs adjustable elevation without hiding the base ventilation area.</x:v>
      </x:c>
      <x:c r="E10" s="26" t="str">
        <x:v>Check current price on named retailer</x:v>
      </x:c>
      <x:c r="F10" s="26" t="str">
        <x:v>/products/
/guides/fix-laptop-desk-setup-egypt/
/guides/laptop-heat-posture-cable-fixes/</x:v>
      </x:c>
      <x:c r="G10" s="26" t="n">
        <x:f>MAX(0,LEN(F10)-LEN(SUBSTITUTE(F10,CHAR(10),""))+1)</x:f>
        <x:v>3</x:v>
      </x:c>
      <x:c r="H10" s="26" t="str">
        <x:v>PP-E007, PP-E029, PP-E008</x:v>
      </x:c>
      <x:c r="I10" s="26" t="str">
        <x:v>data/products.json</x:v>
      </x:c>
      <x:c r="J10" s="26" t="str">
        <x:v>READY FOR LAUNCH REVIEW</x:v>
      </x:c>
    </x:row>
    <x:row r="11" ht="68" customHeight="1">
      <x:c r="A11" s="26" t="str">
        <x:v>Product fit page</x:v>
      </x:c>
      <x:c r="B11" s="26" t="str">
        <x:v>/products/laptop-cooling-pad/</x:v>
      </x:c>
      <x:c r="C11" s="26" t="str">
        <x:v>laptop cooling pad</x:v>
      </x:c>
      <x:c r="D11" s="26" t="str">
        <x:v>A 15.6–17.3-inch laptop needs more space and USB-powered airflow below its base.</x:v>
      </x:c>
      <x:c r="E11" s="26" t="str">
        <x:v>Check current price on named retailer</x:v>
      </x:c>
      <x:c r="F11" s="26" t="str">
        <x:v>/products/
/guides/fix-laptop-desk-setup-egypt/
/guides/laptop-heat-posture-cable-fixes/</x:v>
      </x:c>
      <x:c r="G11" s="26" t="n">
        <x:f>MAX(0,LEN(F11)-LEN(SUBSTITUTE(F11,CHAR(10),""))+1)</x:f>
        <x:v>3</x:v>
      </x:c>
      <x:c r="H11" s="26" t="str">
        <x:v>PP-E032, PP-E033, PP-E034, PP-E035</x:v>
      </x:c>
      <x:c r="I11" s="26" t="str">
        <x:v>data/products.json</x:v>
      </x:c>
      <x:c r="J11" s="26" t="str">
        <x:v>READY FOR LAUNCH REVIEW</x:v>
      </x:c>
    </x:row>
    <x:row r="12" ht="68" customHeight="1">
      <x:c r="A12" s="26" t="str">
        <x:v>Product fit page</x:v>
      </x:c>
      <x:c r="B12" s="26" t="str">
        <x:v>/products/desk-cable-management/</x:v>
      </x:c>
      <x:c r="C12" s="26" t="str">
        <x:v>cable management desk</x:v>
      </x:c>
      <x:c r="D12" s="26" t="str">
        <x:v>Charging and peripheral cables slide away from the desk edge and need small fixed anchor points.</x:v>
      </x:c>
      <x:c r="E12" s="26" t="str">
        <x:v>Check current price on named retailer</x:v>
      </x:c>
      <x:c r="F12" s="26" t="str">
        <x:v>/products/
/guides/fix-laptop-desk-setup-egypt/
/guides/laptop-heat-posture-cable-fixes/</x:v>
      </x:c>
      <x:c r="G12" s="26" t="n">
        <x:f>MAX(0,LEN(F12)-LEN(SUBSTITUTE(F12,CHAR(10),""))+1)</x:f>
        <x:v>3</x:v>
      </x:c>
      <x:c r="H12" s="26" t="str">
        <x:v>PP-E017, PP-E030, PP-E018</x:v>
      </x:c>
      <x:c r="I12" s="26" t="str">
        <x:v>data/products.json</x:v>
      </x:c>
      <x:c r="J12" s="26" t="str">
        <x:v>READY FOR LAUNCH REVIEW</x:v>
      </x:c>
    </x:row>
    <x:row r="13" ht="68" customHeight="1">
      <x:c r="A13" s="27" t="str">
        <x:v>Product fit page</x:v>
      </x:c>
      <x:c r="B13" s="27" t="str">
        <x:v>/products/ergonomic-mouse/</x:v>
      </x:c>
      <x:c r="C13" s="27" t="str">
        <x:v>ergonomic mouse</x:v>
      </x:c>
      <x:c r="D13" s="27" t="str">
        <x:v>A raised laptop setup needs a separate right-handed mouse sized for small-to-medium hands.</x:v>
      </x:c>
      <x:c r="E13" s="27" t="str">
        <x:v>Check current price on named retailer</x:v>
      </x:c>
      <x:c r="F13" s="27" t="str">
        <x:v>/products/
/guides/fix-laptop-desk-setup-egypt/</x:v>
      </x:c>
      <x:c r="G13" s="27" t="n">
        <x:f>MAX(0,LEN(F13)-LEN(SUBSTITUTE(F13,CHAR(10),""))+1)</x:f>
        <x:v>2</x:v>
      </x:c>
      <x:c r="H13" s="27" t="str">
        <x:v>PP-E019, PP-E031, PP-E020</x:v>
      </x:c>
      <x:c r="I13" s="27" t="str">
        <x:v>data/products.json</x:v>
      </x:c>
      <x:c r="J13" s="27" t="str">
        <x:v>READY FOR LAUNCH REVIEW</x:v>
      </x:c>
    </x:row>
  </x:sheetData>
  <x:mergeCells>
    <x:mergeCell ref="A1:J1"/>
    <x:mergeCell ref="A2:J2"/>
  </x:mergeCells>
  <x:conditionalFormatting sqref="J6:J13">
    <x:cfRule type="containsText" dxfId="6" priority="1" operator="containsText" text="READY"/>
  </x:conditionalFormatting>
  <x:pageMargins left="0.7" right="0.7" top="0.75" bottom="0.75" header="0.3" footer="0.3"/>
  <x:tableParts count="1">
    <x:tablePart xmlns:r="http://schemas.openxmlformats.org/officeDocument/2006/relationships" r:id="Rf0f5d3fa6d584fb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38" hidden="0" customWidth="1"/>
    <x:col min="3" max="3" width="24" hidden="0" customWidth="1"/>
    <x:col min="4" max="4" width="27" hidden="0" customWidth="1"/>
    <x:col min="5" max="5" width="55" hidden="0" customWidth="1"/>
    <x:col min="6" max="6" width="48" hidden="0" customWidth="1"/>
    <x:col min="7" max="7" width="40" hidden="0" customWidth="1"/>
    <x:col min="8" max="8" width="55" hidden="0" customWidth="1"/>
  </x:cols>
  <x:sheetData>
    <x:row r="1" ht="34" customHeight="1">
      <x:c r="A1" s="3" t="str">
        <x:v>SETUP SAHLA / OWNER ACTIONS</x:v>
      </x:c>
      <x:c r="B1" s="3" t="str">
        <x:v>SETUP SAHLA / OWNER ACTIONS</x:v>
      </x:c>
      <x:c r="C1" s="3" t="str">
        <x:v>SETUP SAHLA / OWNER ACTIONS</x:v>
      </x:c>
      <x:c r="D1" s="3" t="str">
        <x:v>SETUP SAHLA / OWNER ACTIONS</x:v>
      </x:c>
      <x:c r="E1" s="3" t="str">
        <x:v>SETUP SAHLA / OWNER ACTIONS</x:v>
      </x:c>
      <x:c r="F1" s="3" t="str">
        <x:v>SETUP SAHLA / OWNER ACTIONS</x:v>
      </x:c>
      <x:c r="G1" s="3" t="str">
        <x:v>SETUP SAHLA / OWNER ACTIONS</x:v>
      </x:c>
      <x:c r="H1" s="3" t="str">
        <x:v>SETUP SAHLA / OWNER ACTIONS</x:v>
      </x:c>
    </x:row>
    <x:row r="2" ht="28" customHeight="1">
      <x:c r="A2" s="7" t="str">
        <x:v>Open gates that cannot be invented or delegated: domain, legal/tax review, accounts, program IDs, territory eligibility, analytics, email consent, and operational ownership.</x:v>
      </x:c>
      <x:c r="B2" s="7" t="str">
        <x:v>Open gates that cannot be invented or delegated: domain, legal/tax review, accounts, program IDs, territory eligibility, analytics, email consent, and operational ownership.</x:v>
      </x:c>
      <x:c r="C2" s="7" t="str">
        <x:v>Open gates that cannot be invented or delegated: domain, legal/tax review, accounts, program IDs, territory eligibility, analytics, email consent, and operational ownership.</x:v>
      </x:c>
      <x:c r="D2" s="7" t="str">
        <x:v>Open gates that cannot be invented or delegated: domain, legal/tax review, accounts, program IDs, territory eligibility, analytics, email consent, and operational ownership.</x:v>
      </x:c>
      <x:c r="E2" s="7" t="str">
        <x:v>Open gates that cannot be invented or delegated: domain, legal/tax review, accounts, program IDs, territory eligibility, analytics, email consent, and operational ownership.</x:v>
      </x:c>
      <x:c r="F2" s="7" t="str">
        <x:v>Open gates that cannot be invented or delegated: domain, legal/tax review, accounts, program IDs, territory eligibility, analytics, email consent, and operational ownership.</x:v>
      </x:c>
      <x:c r="G2" s="7" t="str">
        <x:v>Open gates that cannot be invented or delegated: domain, legal/tax review, accounts, program IDs, territory eligibility, analytics, email consent, and operational ownership.</x:v>
      </x:c>
      <x:c r="H2" s="7" t="str">
        <x:v>Open gates that cannot be invented or delegated: domain, legal/tax review, accounts, program IDs, territory eligibility, analytics, email consent, and operational ownership.</x:v>
      </x:c>
    </x:row>
    <x:row r="3" ht="9" customHeight="1"/>
    <x:row r="5" ht="34" customHeight="1">
      <x:c r="A5" s="15" t="str">
        <x:v>Gate ID</x:v>
      </x:c>
      <x:c r="B5" s="16" t="str">
        <x:v>Owner input / decision</x:v>
      </x:c>
      <x:c r="C5" s="16" t="str">
        <x:v>State</x:v>
      </x:c>
      <x:c r="D5" s="16" t="str">
        <x:v>Phase</x:v>
      </x:c>
      <x:c r="E5" s="16" t="str">
        <x:v>Why it matters</x:v>
      </x:c>
      <x:c r="F5" s="16" t="str">
        <x:v>Completion evidence</x:v>
      </x:c>
      <x:c r="G5" s="16" t="str">
        <x:v>Source</x:v>
      </x:c>
      <x:c r="H5" s="17" t="str">
        <x:v>Notes</x:v>
      </x:c>
    </x:row>
    <x:row r="6" ht="60" customHeight="1">
      <x:c r="A6" s="25" t="str">
        <x:v>OWN-001</x:v>
      </x:c>
      <x:c r="B6" s="25" t="str">
        <x:v>Owner-controlled domain</x:v>
      </x:c>
      <x:c r="C6" s="25" t="str">
        <x:v>OWNER INPUT REQUIRED</x:v>
      </x:c>
      <x:c r="D6" s="25" t="str">
        <x:v>Before publication</x:v>
      </x:c>
      <x:c r="E6" s="25" t="str">
        <x:v>Public destination, trust pages, Search Console verification, and rollback record</x:v>
      </x:c>
      <x:c r="F6" s="25" t="str">
        <x:v>Resolved domain and deployment record</x:v>
      </x:c>
      <x:c r="G6" s="25" t="str">
        <x:v>docs/business/LAUNCH_PLAN.md</x:v>
      </x:c>
      <x:c r="H6" s="25" t="str">
        <x:v>Publication gate</x:v>
      </x:c>
    </x:row>
    <x:row r="7" ht="60" customHeight="1">
      <x:c r="A7" s="26" t="str">
        <x:v>OWN-002</x:v>
      </x:c>
      <x:c r="B7" s="26" t="str">
        <x:v>Legal and tax review</x:v>
      </x:c>
      <x:c r="C7" s="26" t="str">
        <x:v>OWNER INPUT REQUIRED</x:v>
      </x:c>
      <x:c r="D7" s="26" t="str">
        <x:v>Before publication / monetization</x:v>
      </x:c>
      <x:c r="E7" s="26" t="str">
        <x:v>Disclosures, privacy, affiliate income, and local obligations</x:v>
      </x:c>
      <x:c r="F7" s="26" t="str">
        <x:v>Owner-retained approval or advice record</x:v>
      </x:c>
      <x:c r="G7" s="26" t="str">
        <x:v>docs/business/AFFILIATE_ACTIVATION.md</x:v>
      </x:c>
      <x:c r="H7" s="26" t="str">
        <x:v>Do not infer local obligations</x:v>
      </x:c>
    </x:row>
    <x:row r="8" ht="60" customHeight="1">
      <x:c r="A8" s="26" t="str">
        <x:v>OWN-003</x:v>
      </x:c>
      <x:c r="B8" s="26" t="str">
        <x:v>Owner contact and correction inbox</x:v>
      </x:c>
      <x:c r="C8" s="26" t="str">
        <x:v>OWNER INPUT REQUIRED</x:v>
      </x:c>
      <x:c r="D8" s="26" t="str">
        <x:v>Before publication</x:v>
      </x:c>
      <x:c r="E8" s="26" t="str">
        <x:v>Trust page, reader corrections, and incident response</x:v>
      </x:c>
      <x:c r="F8" s="26" t="str">
        <x:v>Published contact route tested</x:v>
      </x:c>
      <x:c r="G8" s="26" t="str">
        <x:v>docs/business/AFFILIATE_ACTIVATION.md</x:v>
      </x:c>
      <x:c r="H8" s="26" t="str">
        <x:v>Keep personal data out of source control</x:v>
      </x:c>
    </x:row>
    <x:row r="9" ht="60" customHeight="1">
      <x:c r="A9" s="26" t="str">
        <x:v>OWN-004</x:v>
      </x:c>
      <x:c r="B9" s="26" t="str">
        <x:v>Analytics platform</x:v>
      </x:c>
      <x:c r="C9" s="26" t="str">
        <x:v>OWNER INPUT REQUIRED</x:v>
      </x:c>
      <x:c r="D9" s="26" t="str">
        <x:v>After publication</x:v>
      </x:c>
      <x:c r="E9" s="26" t="str">
        <x:v>Privacy-approved observed baselines</x:v>
      </x:c>
      <x:c r="F9" s="26" t="str">
        <x:v>Verified collection and annotated start</x:v>
      </x:c>
      <x:c r="G9" s="26" t="str">
        <x:v>docs/business/METRICS_SCORECARD.md</x:v>
      </x:c>
      <x:c r="H9" s="26" t="str">
        <x:v>Do not backfill estimates</x:v>
      </x:c>
    </x:row>
    <x:row r="10" ht="60" customHeight="1">
      <x:c r="A10" s="26" t="str">
        <x:v>OWN-005</x:v>
      </x:c>
      <x:c r="B10" s="26" t="str">
        <x:v>Search Console owner account</x:v>
      </x:c>
      <x:c r="C10" s="26" t="str">
        <x:v>OWNER INPUT REQUIRED</x:v>
      </x:c>
      <x:c r="D10" s="26" t="str">
        <x:v>After public domain resolves</x:v>
      </x:c>
      <x:c r="E10" s="26" t="str">
        <x:v>Property verification, sitemap submission, query/indexing evidence</x:v>
      </x:c>
      <x:c r="F10" s="26" t="str">
        <x:v>Verified property and submission record</x:v>
      </x:c>
      <x:c r="G10" s="26" t="str">
        <x:v>docs/business/90_DAY_OPERATING_PLAN.md</x:v>
      </x:c>
      <x:c r="H10" s="26" t="str">
        <x:v>Not a publication blocker</x:v>
      </x:c>
    </x:row>
    <x:row r="11" ht="60" customHeight="1">
      <x:c r="A11" s="26" t="str">
        <x:v>OWN-006</x:v>
      </x:c>
      <x:c r="B11" s="26" t="str">
        <x:v>Amazon Egypt Associates application</x:v>
      </x:c>
      <x:c r="C11" s="26" t="str">
        <x:v>OWNER INPUT REQUIRED</x:v>
      </x:c>
      <x:c r="D11" s="26" t="str">
        <x:v>Weeks 3-4</x:v>
      </x:c>
      <x:c r="E11" s="26" t="str">
        <x:v>Program approval is discretionary and owner-controlled</x:v>
      </x:c>
      <x:c r="F11" s="26" t="str">
        <x:v>Owner-held application / result</x:v>
      </x:c>
      <x:c r="G11" s="26" t="str">
        <x:v>docs/business/AFFILIATE_ACTIVATION.md</x:v>
      </x:c>
      <x:c r="H11" s="26" t="str">
        <x:v>Apply after useful public site exists</x:v>
      </x:c>
    </x:row>
    <x:row r="12" ht="60" customHeight="1">
      <x:c r="A12" s="26" t="str">
        <x:v>OWN-007</x:v>
      </x:c>
      <x:c r="B12" s="26" t="str">
        <x:v>Amazon Associates ID/tag</x:v>
      </x:c>
      <x:c r="C12" s="26" t="str">
        <x:v>AFTER ENROLLMENT</x:v>
      </x:c>
      <x:c r="D12" s="26" t="str">
        <x:v>Post-enrollment</x:v>
      </x:c>
      <x:c r="E12" s="26" t="str">
        <x:v>Generate approved special links from owner account</x:v>
      </x:c>
      <x:c r="F12" s="26" t="str">
        <x:v>Owner-supplied tag and verified link records</x:v>
      </x:c>
      <x:c r="G12" s="26" t="str">
        <x:v>docs/business/AFFILIATE_ACTIVATION.md</x:v>
      </x:c>
      <x:c r="H12" s="26" t="str">
        <x:v>Never invent, borrow, or hand-edit a tag</x:v>
      </x:c>
    </x:row>
    <x:row r="13" ht="60" customHeight="1">
      <x:c r="A13" s="26" t="str">
        <x:v>OWN-008</x:v>
      </x:c>
      <x:c r="B13" s="26" t="str">
        <x:v>Noon Egypt eligibility confirmation</x:v>
      </x:c>
      <x:c r="C13" s="26" t="str">
        <x:v>OWNER INPUT REQUIRED</x:v>
      </x:c>
      <x:c r="D13" s="26" t="str">
        <x:v>Before Noon tracking</x:v>
      </x:c>
      <x:c r="E13" s="26" t="str">
        <x:v>Public terms do not establish Egypt territory eligibility</x:v>
      </x:c>
      <x:c r="F13" s="26" t="str">
        <x:v>Written Noon confirmation retained</x:v>
      </x:c>
      <x:c r="G13" s="26" t="str">
        <x:v>docs/business/AFFILIATE_ACTIVATION.md</x:v>
      </x:c>
      <x:c r="H13" s="26" t="str">
        <x:v>Unverified — public terms do not establish Egypt eligibility</x:v>
      </x:c>
    </x:row>
    <x:row r="14" ht="60" customHeight="1">
      <x:c r="A14" s="26" t="str">
        <x:v>OWN-009</x:v>
      </x:c>
      <x:c r="B14" s="26" t="str">
        <x:v>Email platform and consent path</x:v>
      </x:c>
      <x:c r="C14" s="26" t="str">
        <x:v>OPTIONAL POST-LAUNCH</x:v>
      </x:c>
      <x:c r="D14" s="26" t="str">
        <x:v>Before email capture</x:v>
      </x:c>
      <x:c r="E14" s="26" t="str">
        <x:v>Sender identity, consent, privacy, and unsubscribe behavior</x:v>
      </x:c>
      <x:c r="F14" s="26" t="str">
        <x:v>Approved platform and tested flow</x:v>
      </x:c>
      <x:c r="G14" s="26" t="str">
        <x:v>docs/business/90_DAY_OPERATING_PLAN.md</x:v>
      </x:c>
      <x:c r="H14" s="26" t="str">
        <x:v>Email stays disabled until approved</x:v>
      </x:c>
    </x:row>
    <x:row r="15" ht="60" customHeight="1">
      <x:c r="A15" s="26" t="str">
        <x:v>OWN-010</x:v>
      </x:c>
      <x:c r="B15" s="26" t="str">
        <x:v>Payment and identity details</x:v>
      </x:c>
      <x:c r="C15" s="26" t="str">
        <x:v>OWNER INPUT REQUIRED</x:v>
      </x:c>
      <x:c r="D15" s="26" t="str">
        <x:v>Program applications</x:v>
      </x:c>
      <x:c r="E15" s="26" t="str">
        <x:v>Enrollment and payouts</x:v>
      </x:c>
      <x:c r="F15" s="26" t="str">
        <x:v>Owner-held program records</x:v>
      </x:c>
      <x:c r="G15" s="26" t="str">
        <x:v>docs/business/AFFILIATE_ACTIVATION.md</x:v>
      </x:c>
      <x:c r="H15" s="26" t="str">
        <x:v>Do not put secrets or personal data in source control</x:v>
      </x:c>
    </x:row>
    <x:row r="16" ht="60" customHeight="1">
      <x:c r="A16" s="26" t="str">
        <x:v>OWN-011</x:v>
      </x:c>
      <x:c r="B16" s="26" t="str">
        <x:v>Operating owners and weekly review slot</x:v>
      </x:c>
      <x:c r="C16" s="26" t="str">
        <x:v>OWNER INPUT REQUIRED</x:v>
      </x:c>
      <x:c r="D16" s="26" t="str">
        <x:v>Before recurring operations</x:v>
      </x:c>
      <x:c r="E16" s="26" t="str">
        <x:v>Assign evidence, editorial, site, link, and business decisions</x:v>
      </x:c>
      <x:c r="F16" s="26" t="str">
        <x:v>Named owner roster and meeting slot</x:v>
      </x:c>
      <x:c r="G16" s="26" t="str">
        <x:v>docs/business/90_DAY_OPERATING_PLAN.md</x:v>
      </x:c>
      <x:c r="H16" s="26" t="str">
        <x:v>Needed for 14-day and 90-day cadence</x:v>
      </x:c>
    </x:row>
    <x:row r="17" ht="60" customHeight="1">
      <x:c r="A17" s="27" t="str">
        <x:v>OWN-012</x:v>
      </x:c>
      <x:c r="B17" s="27" t="str">
        <x:v>Reporting owner and monthly close date</x:v>
      </x:c>
      <x:c r="C17" s="27" t="str">
        <x:v>OWNER INPUT REQUIRED</x:v>
      </x:c>
      <x:c r="D17" s="27" t="str">
        <x:v>Before first complete baseline</x:v>
      </x:c>
      <x:c r="E17" s="27" t="str">
        <x:v>Comparable observed scorecard periods</x:v>
      </x:c>
      <x:c r="F17" s="27" t="str">
        <x:v>Named owner and close calendar</x:v>
      </x:c>
      <x:c r="G17" s="27" t="str">
        <x:v>docs/business/METRICS_SCORECARD.md</x:v>
      </x:c>
      <x:c r="H17" s="27" t="str">
        <x:v>Targets only after baseline</x:v>
      </x:c>
    </x:row>
  </x:sheetData>
  <x:mergeCells>
    <x:mergeCell ref="A1:H1"/>
    <x:mergeCell ref="A2:H2"/>
  </x:mergeCells>
  <x:conditionalFormatting sqref="C6:C17">
    <x:cfRule type="containsText" dxfId="7" priority="1" operator="containsText" text="OWNER INPUT REQUIRED"/>
    <x:cfRule type="containsText" dxfId="8" priority="2" operator="containsText" text="COMPLETE"/>
  </x:conditionalFormatting>
  <x:dataValidations count="1">
    <x:dataValidation type="list" sqref="C6:C17">
      <x:formula1>"OWNER INPUT REQUIRED,AFTER ENROLLMENT,OPTIONAL POST-LAUNCH,COMPLETE"</x:formula1>
    </x:dataValidation>
  </x:dataValidations>
  <x:pageMargins left="0.7" right="0.7" top="0.75" bottom="0.75" header="0.3" footer="0.3"/>
  <x:tableParts count="1">
    <x:tablePart xmlns:r="http://schemas.openxmlformats.org/officeDocument/2006/relationships" r:id="Re6977f1e44564994"/>
  </x:tableParts>
</x:worksheet>
</file>